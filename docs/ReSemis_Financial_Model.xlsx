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cola\Documents\ReSemis - Local\"/>
    </mc:Choice>
  </mc:AlternateContent>
  <xr:revisionPtr revIDLastSave="0" documentId="13_ncr:1_{206CA0B9-C4BB-471E-8491-DC616E35CCA5}" xr6:coauthVersionLast="47" xr6:coauthVersionMax="47" xr10:uidLastSave="{00000000-0000-0000-0000-000000000000}"/>
  <bookViews>
    <workbookView xWindow="-120" yWindow="-120" windowWidth="20730" windowHeight="11160" tabRatio="792" firstSheet="16" activeTab="16" xr2:uid="{00000000-000D-0000-FFFF-FFFF00000000}"/>
  </bookViews>
  <sheets>
    <sheet name="00_Index" sheetId="1" r:id="rId1"/>
    <sheet name="01_Executive_Summary" sheetId="2" r:id="rId2"/>
    <sheet name="02_TAM_SAM_SOM_Poultry" sheetId="3" r:id="rId3"/>
    <sheet name="02_1_TAM_SAM_SOM_Agricolo" sheetId="15" r:id="rId4"/>
    <sheet name="03_Product_Lines" sheetId="4" r:id="rId5"/>
    <sheet name="04_Assumptions" sheetId="5" r:id="rId6"/>
    <sheet name="05_Revenue_Model" sheetId="6" r:id="rId7"/>
    <sheet name="06_COGS" sheetId="7" r:id="rId8"/>
    <sheet name="07_OpEx" sheetId="8" r:id="rId9"/>
    <sheet name="08_P&amp;L" sheetId="9" r:id="rId10"/>
    <sheet name="09_Cash_Flow" sheetId="10" r:id="rId11"/>
    <sheet name="10_KPIs" sheetId="11" r:id="rId12"/>
    <sheet name="11_Funding" sheetId="12" r:id="rId13"/>
    <sheet name="12_Scenarios" sheetId="13" r:id="rId14"/>
    <sheet name="13_Sensitivity" sheetId="14" r:id="rId15"/>
    <sheet name="14_Unit_Costs_BOM" sheetId="16" r:id="rId16"/>
    <sheet name="15_OpEx_Budget_Detail" sheetId="17" r:id="rId17"/>
    <sheet name="16_Valuation_Models" sheetId="18" r:id="rId18"/>
    <sheet name="17_Dashboard" sheetId="19" r:id="rId19"/>
  </sheets>
  <externalReferences>
    <externalReference r:id="rId20"/>
  </externalReferences>
  <definedNames>
    <definedName name="AcquaComp">'02_1_TAM_SAM_SOM_Agricolo'!#REF!</definedName>
    <definedName name="ARPU" comment="Average Revenue Per User">[1]Assumptions!$C$4</definedName>
    <definedName name="CAC" comment="Client Acquisition Cost">[1]Assumptions!$C$7</definedName>
    <definedName name="ChurnRate" comment="Annual Churn Rate">[1]Assumptions!$C$6</definedName>
    <definedName name="ClientServiceCost" comment="Service Cost per Client">[1]Assumptions!$C$8</definedName>
    <definedName name="EBITDA1" comment="Earnings Before Interest Taxes, Depreciation and Amortisation">'[1]P&amp;L'!$C$10</definedName>
    <definedName name="EBITDA2" comment="Earnings Before Interest Taxes, Depreciation and Amortisation">'[1]P&amp;L'!$D$10</definedName>
    <definedName name="EBITDA3" comment="Earnings Before Interest Taxes, Depreciation and Amortisation">'[1]P&amp;L'!$E$10</definedName>
    <definedName name="FixedCostsAnnual" comment="Fixed Annual Costs per Year_x000a_">[1]Assumptions!$C$9</definedName>
    <definedName name="GrowthYoY" comment="Year on Year Growth">[1]Assumptions!$C$5</definedName>
    <definedName name="LargeLivestockComp">'02_1_TAM_SAM_SOM_Agricolo'!#REF!</definedName>
    <definedName name="LTV" comment="customer Life Time Value">'[1]Unit Economics'!$C$5</definedName>
    <definedName name="MidLivestockComp">'02_1_TAM_SAM_SOM_Agricolo'!#REF!</definedName>
    <definedName name="PetComp">'02_1_TAM_SAM_SOM_Agricolo'!#REF!</definedName>
    <definedName name="SAMAcquaComp">'02_1_TAM_SAM_SOM_Agricolo'!#REF!</definedName>
    <definedName name="SAMLargeLivestockComp">'02_1_TAM_SAM_SOM_Agricolo'!#REF!</definedName>
    <definedName name="SAMMidLivestockComp">'02_1_TAM_SAM_SOM_Agricolo'!#REF!</definedName>
    <definedName name="SAMPetComp">'02_1_TAM_SAM_SOM_Agricolo'!#REF!</definedName>
    <definedName name="TAMAcqua">'02_1_TAM_SAM_SOM_Agricolo'!$E$11:$E$11</definedName>
    <definedName name="TAMLivestock">'02_1_TAM_SAM_SOM_Agricolo'!$C$11:$C$11</definedName>
    <definedName name="TAMPet">'02_1_TAM_SAM_SOM_Agricolo'!#REF!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7" l="1"/>
  <c r="F14" i="9"/>
  <c r="E14" i="9"/>
  <c r="D14" i="9"/>
  <c r="C14" i="9"/>
  <c r="B14" i="9"/>
  <c r="B15" i="9" s="1"/>
  <c r="B17" i="9" s="1"/>
  <c r="F13" i="9"/>
  <c r="F15" i="9" s="1"/>
  <c r="F17" i="9" s="1"/>
  <c r="F18" i="9" s="1"/>
  <c r="E13" i="9"/>
  <c r="D13" i="9"/>
  <c r="D15" i="9" s="1"/>
  <c r="D17" i="9" s="1"/>
  <c r="D18" i="9" s="1"/>
  <c r="C13" i="9"/>
  <c r="B13" i="9"/>
  <c r="F12" i="9"/>
  <c r="E12" i="9"/>
  <c r="D12" i="9"/>
  <c r="C12" i="9"/>
  <c r="B12" i="9"/>
  <c r="F11" i="9"/>
  <c r="E11" i="9"/>
  <c r="D11" i="9"/>
  <c r="C11" i="9"/>
  <c r="B11" i="9"/>
  <c r="B18" i="9"/>
  <c r="E15" i="9"/>
  <c r="E17" i="9" s="1"/>
  <c r="E18" i="9" s="1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F14" i="7"/>
  <c r="F15" i="7" s="1"/>
  <c r="E14" i="7"/>
  <c r="E15" i="7" s="1"/>
  <c r="D14" i="7"/>
  <c r="D15" i="7" s="1"/>
  <c r="C14" i="7"/>
  <c r="C15" i="7" s="1"/>
  <c r="B14" i="7"/>
  <c r="F13" i="7"/>
  <c r="E13" i="7"/>
  <c r="D13" i="7"/>
  <c r="C13" i="7"/>
  <c r="B13" i="7"/>
  <c r="F12" i="7"/>
  <c r="E12" i="7"/>
  <c r="D12" i="7"/>
  <c r="C12" i="7"/>
  <c r="B12" i="7"/>
  <c r="F8" i="7"/>
  <c r="E8" i="7"/>
  <c r="D8" i="7"/>
  <c r="C8" i="7"/>
  <c r="B8" i="7"/>
  <c r="F7" i="7"/>
  <c r="F9" i="7" s="1"/>
  <c r="E7" i="7"/>
  <c r="E9" i="7" s="1"/>
  <c r="D7" i="7"/>
  <c r="C7" i="7"/>
  <c r="B7" i="7"/>
  <c r="F6" i="7"/>
  <c r="E6" i="7"/>
  <c r="D6" i="7"/>
  <c r="C6" i="7"/>
  <c r="B6" i="7"/>
  <c r="B24" i="7"/>
  <c r="F22" i="7"/>
  <c r="E22" i="7"/>
  <c r="D22" i="7"/>
  <c r="C22" i="7"/>
  <c r="B22" i="7"/>
  <c r="F19" i="7"/>
  <c r="E19" i="7"/>
  <c r="D19" i="7"/>
  <c r="C19" i="7"/>
  <c r="B19" i="7"/>
  <c r="B15" i="7"/>
  <c r="D9" i="7"/>
  <c r="C9" i="7"/>
  <c r="B9" i="7"/>
  <c r="F70" i="6"/>
  <c r="E70" i="6"/>
  <c r="D70" i="6"/>
  <c r="C70" i="6"/>
  <c r="B70" i="6"/>
  <c r="F69" i="6"/>
  <c r="E69" i="6"/>
  <c r="D69" i="6"/>
  <c r="C69" i="6"/>
  <c r="B69" i="6"/>
  <c r="F63" i="6"/>
  <c r="E63" i="6"/>
  <c r="D63" i="6"/>
  <c r="C63" i="6"/>
  <c r="B63" i="6"/>
  <c r="F62" i="6"/>
  <c r="E62" i="6"/>
  <c r="D62" i="6"/>
  <c r="C62" i="6"/>
  <c r="B62" i="6"/>
  <c r="F66" i="6"/>
  <c r="E66" i="6"/>
  <c r="D66" i="6"/>
  <c r="C66" i="6"/>
  <c r="F65" i="6"/>
  <c r="E65" i="6"/>
  <c r="D65" i="6"/>
  <c r="C65" i="6"/>
  <c r="B65" i="6"/>
  <c r="F59" i="6"/>
  <c r="E59" i="6"/>
  <c r="D59" i="6"/>
  <c r="C59" i="6"/>
  <c r="B59" i="6"/>
  <c r="F58" i="6"/>
  <c r="E58" i="6"/>
  <c r="D58" i="6"/>
  <c r="C58" i="6"/>
  <c r="B58" i="6"/>
  <c r="F55" i="6"/>
  <c r="E55" i="6"/>
  <c r="D55" i="6"/>
  <c r="C55" i="6"/>
  <c r="B55" i="6"/>
  <c r="F54" i="6"/>
  <c r="E54" i="6"/>
  <c r="D54" i="6"/>
  <c r="C54" i="6"/>
  <c r="B54" i="6"/>
  <c r="F53" i="6"/>
  <c r="E53" i="6"/>
  <c r="D53" i="6"/>
  <c r="C53" i="6"/>
  <c r="B53" i="6"/>
  <c r="F52" i="6"/>
  <c r="E52" i="6"/>
  <c r="D52" i="6"/>
  <c r="C52" i="6"/>
  <c r="B52" i="6"/>
  <c r="F51" i="6"/>
  <c r="E51" i="6"/>
  <c r="D51" i="6"/>
  <c r="C51" i="6"/>
  <c r="B51" i="6"/>
  <c r="F47" i="6"/>
  <c r="E47" i="6"/>
  <c r="D47" i="6"/>
  <c r="C47" i="6"/>
  <c r="B47" i="6"/>
  <c r="F46" i="6"/>
  <c r="E46" i="6"/>
  <c r="D46" i="6"/>
  <c r="C46" i="6"/>
  <c r="B46" i="6"/>
  <c r="F45" i="6"/>
  <c r="E45" i="6"/>
  <c r="D45" i="6"/>
  <c r="C45" i="6"/>
  <c r="B45" i="6"/>
  <c r="F44" i="6"/>
  <c r="E44" i="6"/>
  <c r="D44" i="6"/>
  <c r="C44" i="6"/>
  <c r="B44" i="6"/>
  <c r="F43" i="6"/>
  <c r="E43" i="6"/>
  <c r="D43" i="6"/>
  <c r="C43" i="6"/>
  <c r="B43" i="6"/>
  <c r="F39" i="6"/>
  <c r="E39" i="6"/>
  <c r="D39" i="6"/>
  <c r="C39" i="6"/>
  <c r="B39" i="6"/>
  <c r="F38" i="6"/>
  <c r="E38" i="6"/>
  <c r="D38" i="6"/>
  <c r="C38" i="6"/>
  <c r="B38" i="6"/>
  <c r="F37" i="6"/>
  <c r="E37" i="6"/>
  <c r="D37" i="6"/>
  <c r="C37" i="6"/>
  <c r="B37" i="6"/>
  <c r="F36" i="6"/>
  <c r="E36" i="6"/>
  <c r="D36" i="6"/>
  <c r="C36" i="6"/>
  <c r="B36" i="6"/>
  <c r="F35" i="6"/>
  <c r="E35" i="6"/>
  <c r="D35" i="6"/>
  <c r="C35" i="6"/>
  <c r="B35" i="6"/>
  <c r="F18" i="5"/>
  <c r="F18" i="11" s="1"/>
  <c r="E18" i="5"/>
  <c r="E18" i="11" s="1"/>
  <c r="D18" i="5"/>
  <c r="C18" i="5"/>
  <c r="B18" i="5"/>
  <c r="C43" i="17"/>
  <c r="E42" i="17"/>
  <c r="C42" i="17"/>
  <c r="E41" i="17"/>
  <c r="C41" i="17"/>
  <c r="E40" i="17"/>
  <c r="C40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N35" i="17"/>
  <c r="N34" i="17"/>
  <c r="N33" i="17"/>
  <c r="N32" i="17"/>
  <c r="N31" i="17"/>
  <c r="N30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N24" i="17"/>
  <c r="N23" i="17"/>
  <c r="N22" i="17"/>
  <c r="N21" i="17"/>
  <c r="N20" i="17"/>
  <c r="N19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N13" i="17"/>
  <c r="N12" i="17"/>
  <c r="N11" i="17"/>
  <c r="N10" i="17"/>
  <c r="N9" i="17"/>
  <c r="N8" i="17"/>
  <c r="N7" i="17"/>
  <c r="E45" i="16"/>
  <c r="D45" i="16"/>
  <c r="C45" i="16"/>
  <c r="E44" i="16"/>
  <c r="D44" i="16"/>
  <c r="C44" i="16"/>
  <c r="E43" i="16"/>
  <c r="D43" i="16"/>
  <c r="C43" i="16"/>
  <c r="E42" i="16"/>
  <c r="D42" i="16"/>
  <c r="C42" i="16"/>
  <c r="D38" i="16"/>
  <c r="D37" i="16"/>
  <c r="D35" i="16"/>
  <c r="D27" i="16"/>
  <c r="B27" i="16"/>
  <c r="D25" i="16"/>
  <c r="D24" i="16"/>
  <c r="D23" i="16"/>
  <c r="D22" i="16"/>
  <c r="D21" i="16"/>
  <c r="D20" i="16"/>
  <c r="D19" i="16"/>
  <c r="D15" i="16"/>
  <c r="D14" i="16"/>
  <c r="D13" i="16"/>
  <c r="D12" i="16"/>
  <c r="D11" i="16"/>
  <c r="D10" i="16"/>
  <c r="D9" i="16"/>
  <c r="D8" i="16"/>
  <c r="D7" i="16"/>
  <c r="D6" i="16"/>
  <c r="B23" i="2"/>
  <c r="C23" i="2"/>
  <c r="B24" i="2"/>
  <c r="C24" i="2"/>
  <c r="D24" i="2" s="1"/>
  <c r="C22" i="2"/>
  <c r="B22" i="2"/>
  <c r="C21" i="12"/>
  <c r="D21" i="12"/>
  <c r="C22" i="12"/>
  <c r="D22" i="12"/>
  <c r="C23" i="12"/>
  <c r="D23" i="12"/>
  <c r="D20" i="12"/>
  <c r="C20" i="12"/>
  <c r="B21" i="12"/>
  <c r="B22" i="12"/>
  <c r="B23" i="12"/>
  <c r="B20" i="12"/>
  <c r="B24" i="12"/>
  <c r="D13" i="12"/>
  <c r="D12" i="12"/>
  <c r="D11" i="12"/>
  <c r="D6" i="12"/>
  <c r="C6" i="12"/>
  <c r="C18" i="11"/>
  <c r="D18" i="11"/>
  <c r="B18" i="11"/>
  <c r="C14" i="10"/>
  <c r="D14" i="10"/>
  <c r="E14" i="10"/>
  <c r="F14" i="10"/>
  <c r="B14" i="10"/>
  <c r="D5" i="12"/>
  <c r="D4" i="12"/>
  <c r="C5" i="12"/>
  <c r="C4" i="12"/>
  <c r="C5" i="8"/>
  <c r="D5" i="8"/>
  <c r="E5" i="8"/>
  <c r="F5" i="8"/>
  <c r="C6" i="8"/>
  <c r="D6" i="8"/>
  <c r="E6" i="8"/>
  <c r="F6" i="8"/>
  <c r="C7" i="8"/>
  <c r="D7" i="8"/>
  <c r="E7" i="8"/>
  <c r="F7" i="8"/>
  <c r="C8" i="8"/>
  <c r="D8" i="8"/>
  <c r="E8" i="8"/>
  <c r="F8" i="8"/>
  <c r="B8" i="8"/>
  <c r="B7" i="8"/>
  <c r="B6" i="8"/>
  <c r="B5" i="8"/>
  <c r="C10" i="7"/>
  <c r="D10" i="7"/>
  <c r="F10" i="7"/>
  <c r="B10" i="7"/>
  <c r="F15" i="15"/>
  <c r="F19" i="15" s="1"/>
  <c r="E15" i="15"/>
  <c r="E19" i="15" s="1"/>
  <c r="D15" i="15"/>
  <c r="C15" i="15"/>
  <c r="C19" i="15" s="1"/>
  <c r="F6" i="15"/>
  <c r="F8" i="15" s="1"/>
  <c r="E6" i="15"/>
  <c r="E8" i="15" s="1"/>
  <c r="D6" i="15"/>
  <c r="D8" i="15" s="1"/>
  <c r="C6" i="15"/>
  <c r="C8" i="15" s="1"/>
  <c r="D10" i="3"/>
  <c r="B8" i="3"/>
  <c r="C10" i="3"/>
  <c r="G11" i="15"/>
  <c r="G12" i="14"/>
  <c r="F12" i="14"/>
  <c r="E12" i="14"/>
  <c r="D12" i="14"/>
  <c r="C12" i="14"/>
  <c r="B12" i="14"/>
  <c r="G9" i="14"/>
  <c r="F9" i="14"/>
  <c r="E9" i="14"/>
  <c r="D9" i="14"/>
  <c r="C9" i="14"/>
  <c r="B9" i="14"/>
  <c r="G6" i="14"/>
  <c r="F6" i="14"/>
  <c r="E6" i="14"/>
  <c r="D6" i="14"/>
  <c r="C6" i="14"/>
  <c r="B6" i="14"/>
  <c r="F11" i="11"/>
  <c r="E11" i="11"/>
  <c r="D11" i="11"/>
  <c r="C11" i="11"/>
  <c r="B11" i="11"/>
  <c r="D9" i="8"/>
  <c r="C9" i="8"/>
  <c r="F26" i="6"/>
  <c r="E26" i="6"/>
  <c r="D26" i="6"/>
  <c r="C26" i="6"/>
  <c r="B26" i="6"/>
  <c r="B24" i="6"/>
  <c r="F23" i="6"/>
  <c r="E23" i="6"/>
  <c r="D23" i="6"/>
  <c r="C23" i="6"/>
  <c r="B23" i="6"/>
  <c r="F18" i="6"/>
  <c r="E18" i="6"/>
  <c r="D18" i="6"/>
  <c r="C18" i="6"/>
  <c r="B18" i="6"/>
  <c r="B16" i="6"/>
  <c r="F15" i="6"/>
  <c r="E15" i="6"/>
  <c r="D15" i="6"/>
  <c r="C15" i="6"/>
  <c r="B15" i="6"/>
  <c r="F10" i="6"/>
  <c r="E10" i="6"/>
  <c r="D10" i="6"/>
  <c r="C10" i="6"/>
  <c r="B10" i="6"/>
  <c r="B8" i="6"/>
  <c r="F7" i="6"/>
  <c r="E7" i="6"/>
  <c r="D7" i="6"/>
  <c r="C7" i="6"/>
  <c r="B7" i="6"/>
  <c r="B9" i="6" s="1"/>
  <c r="B13" i="3"/>
  <c r="B16" i="3" s="1"/>
  <c r="B19" i="3" s="1"/>
  <c r="B26" i="3" s="1"/>
  <c r="B31" i="3" s="1"/>
  <c r="B36" i="3" s="1"/>
  <c r="D23" i="2"/>
  <c r="D22" i="2"/>
  <c r="C15" i="9" l="1"/>
  <c r="C17" i="9" s="1"/>
  <c r="C18" i="9" s="1"/>
  <c r="F17" i="7"/>
  <c r="F20" i="7" s="1"/>
  <c r="F23" i="7" s="1"/>
  <c r="F24" i="7" s="1"/>
  <c r="E17" i="7"/>
  <c r="E20" i="7" s="1"/>
  <c r="E23" i="7" s="1"/>
  <c r="E24" i="7" s="1"/>
  <c r="D17" i="7"/>
  <c r="D20" i="7" s="1"/>
  <c r="D23" i="7" s="1"/>
  <c r="D24" i="7" s="1"/>
  <c r="C17" i="7"/>
  <c r="C20" i="7" s="1"/>
  <c r="C23" i="7" s="1"/>
  <c r="C24" i="7" s="1"/>
  <c r="B17" i="7"/>
  <c r="B20" i="7" s="1"/>
  <c r="B23" i="7" s="1"/>
  <c r="E10" i="7"/>
  <c r="B25" i="6"/>
  <c r="B5" i="7"/>
  <c r="C6" i="6"/>
  <c r="B11" i="6"/>
  <c r="E6" i="12"/>
  <c r="F6" i="12" s="1"/>
  <c r="D14" i="12" s="1"/>
  <c r="E4" i="12"/>
  <c r="F4" i="12" s="1"/>
  <c r="B11" i="12" s="1"/>
  <c r="E5" i="12"/>
  <c r="F5" i="12" s="1"/>
  <c r="C13" i="12" s="1"/>
  <c r="B27" i="6"/>
  <c r="B12" i="11"/>
  <c r="B13" i="11" s="1"/>
  <c r="B17" i="6"/>
  <c r="B19" i="6" s="1"/>
  <c r="G15" i="15"/>
  <c r="C20" i="15"/>
  <c r="C16" i="15"/>
  <c r="C12" i="15"/>
  <c r="E20" i="15"/>
  <c r="E16" i="15"/>
  <c r="E12" i="15"/>
  <c r="D16" i="15"/>
  <c r="F20" i="15"/>
  <c r="F16" i="15"/>
  <c r="F12" i="15"/>
  <c r="D19" i="15"/>
  <c r="G19" i="15" s="1"/>
  <c r="D19" i="3"/>
  <c r="C13" i="3"/>
  <c r="C16" i="3" s="1"/>
  <c r="C19" i="3" s="1"/>
  <c r="C8" i="6"/>
  <c r="B27" i="3"/>
  <c r="B25" i="3"/>
  <c r="B9" i="8"/>
  <c r="F9" i="8"/>
  <c r="E9" i="8"/>
  <c r="B29" i="6" l="1"/>
  <c r="C22" i="6"/>
  <c r="B30" i="6"/>
  <c r="B6" i="11" s="1"/>
  <c r="C14" i="6"/>
  <c r="C16" i="6" s="1"/>
  <c r="C17" i="6" s="1"/>
  <c r="C24" i="12"/>
  <c r="D24" i="12"/>
  <c r="C11" i="12"/>
  <c r="D15" i="12" s="1"/>
  <c r="B12" i="12"/>
  <c r="C12" i="12" s="1"/>
  <c r="C9" i="6"/>
  <c r="C11" i="6" s="1"/>
  <c r="G16" i="15"/>
  <c r="G12" i="15"/>
  <c r="D20" i="15"/>
  <c r="G20" i="15" s="1"/>
  <c r="D27" i="3"/>
  <c r="D32" i="3" s="1"/>
  <c r="D37" i="3" s="1"/>
  <c r="D26" i="3"/>
  <c r="D31" i="3" s="1"/>
  <c r="D36" i="3" s="1"/>
  <c r="D25" i="3"/>
  <c r="D30" i="3" s="1"/>
  <c r="D35" i="3" s="1"/>
  <c r="C27" i="3"/>
  <c r="C32" i="3" s="1"/>
  <c r="C37" i="3" s="1"/>
  <c r="C26" i="3"/>
  <c r="C25" i="3"/>
  <c r="C30" i="3" s="1"/>
  <c r="C35" i="3" s="1"/>
  <c r="B32" i="3"/>
  <c r="B15" i="12"/>
  <c r="B17" i="2"/>
  <c r="B30" i="3"/>
  <c r="C24" i="6" l="1"/>
  <c r="C12" i="11" s="1"/>
  <c r="C13" i="11" s="1"/>
  <c r="B11" i="7"/>
  <c r="B18" i="2"/>
  <c r="B17" i="11"/>
  <c r="B19" i="11" s="1"/>
  <c r="B14" i="11"/>
  <c r="D14" i="6"/>
  <c r="D16" i="6" s="1"/>
  <c r="D17" i="6" s="1"/>
  <c r="C5" i="7"/>
  <c r="D6" i="6"/>
  <c r="C15" i="12"/>
  <c r="C19" i="6"/>
  <c r="E25" i="3"/>
  <c r="B13" i="2"/>
  <c r="B12" i="13"/>
  <c r="B15" i="2"/>
  <c r="B7" i="10"/>
  <c r="B11" i="2"/>
  <c r="B37" i="3"/>
  <c r="E37" i="3" s="1"/>
  <c r="E32" i="3"/>
  <c r="E27" i="3"/>
  <c r="B35" i="3"/>
  <c r="E35" i="3" s="1"/>
  <c r="E30" i="3"/>
  <c r="C31" i="3"/>
  <c r="E26" i="3"/>
  <c r="C25" i="6" l="1"/>
  <c r="B7" i="11"/>
  <c r="B8" i="11" s="1"/>
  <c r="D8" i="6"/>
  <c r="E14" i="6"/>
  <c r="E16" i="6" s="1"/>
  <c r="E17" i="6" s="1"/>
  <c r="D19" i="6"/>
  <c r="C36" i="3"/>
  <c r="E36" i="3" s="1"/>
  <c r="E31" i="3"/>
  <c r="B12" i="2"/>
  <c r="D22" i="6" l="1"/>
  <c r="C27" i="6"/>
  <c r="C29" i="6" s="1"/>
  <c r="C30" i="6"/>
  <c r="D9" i="6"/>
  <c r="F14" i="6"/>
  <c r="E19" i="6"/>
  <c r="B6" i="10"/>
  <c r="B8" i="10" s="1"/>
  <c r="B16" i="10" s="1"/>
  <c r="B19" i="10" s="1"/>
  <c r="C18" i="10" s="1"/>
  <c r="B14" i="2"/>
  <c r="C17" i="2" l="1"/>
  <c r="C6" i="11"/>
  <c r="C14" i="11"/>
  <c r="C17" i="11"/>
  <c r="C19" i="11" s="1"/>
  <c r="C11" i="7"/>
  <c r="C18" i="2"/>
  <c r="D24" i="6"/>
  <c r="D12" i="11" s="1"/>
  <c r="D13" i="11" s="1"/>
  <c r="E6" i="6"/>
  <c r="D5" i="7"/>
  <c r="D11" i="6"/>
  <c r="F16" i="6"/>
  <c r="F17" i="6" s="1"/>
  <c r="D25" i="6" l="1"/>
  <c r="D30" i="6" s="1"/>
  <c r="D14" i="11" s="1"/>
  <c r="C7" i="10"/>
  <c r="C12" i="13"/>
  <c r="C11" i="2"/>
  <c r="C13" i="2"/>
  <c r="C7" i="11"/>
  <c r="C8" i="11" s="1"/>
  <c r="E8" i="6"/>
  <c r="E9" i="6"/>
  <c r="F19" i="6"/>
  <c r="D17" i="2" l="1"/>
  <c r="E22" i="6"/>
  <c r="E24" i="6" s="1"/>
  <c r="E25" i="6" s="1"/>
  <c r="D27" i="6"/>
  <c r="D29" i="6" s="1"/>
  <c r="C12" i="2"/>
  <c r="E5" i="7"/>
  <c r="F6" i="6"/>
  <c r="E11" i="6"/>
  <c r="D18" i="2" l="1"/>
  <c r="D7" i="11"/>
  <c r="E27" i="6"/>
  <c r="E29" i="6" s="1"/>
  <c r="E30" i="6"/>
  <c r="F22" i="6"/>
  <c r="F24" i="6" s="1"/>
  <c r="F25" i="6" s="1"/>
  <c r="F27" i="6" s="1"/>
  <c r="D6" i="11"/>
  <c r="D17" i="11"/>
  <c r="D19" i="11" s="1"/>
  <c r="E12" i="11"/>
  <c r="E13" i="11" s="1"/>
  <c r="E11" i="7"/>
  <c r="C14" i="2"/>
  <c r="C15" i="2"/>
  <c r="C6" i="10"/>
  <c r="C8" i="10" s="1"/>
  <c r="C16" i="10" s="1"/>
  <c r="C19" i="10" s="1"/>
  <c r="D18" i="10" s="1"/>
  <c r="F8" i="6"/>
  <c r="F12" i="11" s="1"/>
  <c r="F13" i="11" s="1"/>
  <c r="D8" i="11" l="1"/>
  <c r="E18" i="2"/>
  <c r="E6" i="11"/>
  <c r="E11" i="2"/>
  <c r="E7" i="11"/>
  <c r="E17" i="11"/>
  <c r="E19" i="11" s="1"/>
  <c r="E14" i="11"/>
  <c r="E17" i="2"/>
  <c r="F10" i="14"/>
  <c r="E7" i="14"/>
  <c r="G7" i="14"/>
  <c r="G10" i="14"/>
  <c r="D7" i="10"/>
  <c r="D7" i="14"/>
  <c r="D11" i="2"/>
  <c r="C10" i="14"/>
  <c r="E10" i="14"/>
  <c r="D10" i="14"/>
  <c r="D12" i="13"/>
  <c r="F7" i="14"/>
  <c r="C7" i="14"/>
  <c r="F9" i="6"/>
  <c r="E13" i="2"/>
  <c r="E12" i="13"/>
  <c r="E7" i="10" l="1"/>
  <c r="E8" i="11"/>
  <c r="D12" i="2"/>
  <c r="E12" i="2"/>
  <c r="F5" i="7"/>
  <c r="F11" i="6"/>
  <c r="F29" i="6" s="1"/>
  <c r="F30" i="6"/>
  <c r="D15" i="2" l="1"/>
  <c r="D14" i="2"/>
  <c r="D6" i="10"/>
  <c r="D8" i="10" s="1"/>
  <c r="D16" i="10" s="1"/>
  <c r="D19" i="10" s="1"/>
  <c r="E18" i="10" s="1"/>
  <c r="E13" i="14"/>
  <c r="D13" i="14"/>
  <c r="G13" i="14"/>
  <c r="C13" i="14"/>
  <c r="F13" i="14"/>
  <c r="D13" i="2"/>
  <c r="F18" i="2"/>
  <c r="F17" i="11"/>
  <c r="F19" i="11" s="1"/>
  <c r="F11" i="7"/>
  <c r="F17" i="2"/>
  <c r="F14" i="11"/>
  <c r="F6" i="11"/>
  <c r="E6" i="10"/>
  <c r="E8" i="10" s="1"/>
  <c r="E16" i="10" s="1"/>
  <c r="E14" i="2"/>
  <c r="E15" i="2"/>
  <c r="E19" i="10" l="1"/>
  <c r="F18" i="10" s="1"/>
  <c r="F7" i="11"/>
  <c r="F8" i="11" s="1"/>
  <c r="F13" i="2"/>
  <c r="F7" i="10"/>
  <c r="F11" i="2"/>
  <c r="F12" i="13"/>
  <c r="F12" i="2" l="1"/>
  <c r="F14" i="2" l="1"/>
  <c r="F6" i="10"/>
  <c r="F8" i="10" s="1"/>
  <c r="F16" i="10" s="1"/>
  <c r="F19" i="10" s="1"/>
  <c r="F15" i="2"/>
  <c r="C34" i="6"/>
  <c r="D34" i="6" l="1"/>
  <c r="E34" i="6" l="1"/>
  <c r="F34" i="6" l="1"/>
  <c r="C42" i="6" l="1"/>
  <c r="D42" i="6"/>
  <c r="E42" i="6" l="1"/>
  <c r="F42" i="6" l="1"/>
  <c r="C50" i="6"/>
  <c r="D50" i="6" l="1"/>
  <c r="E50" i="6" l="1"/>
  <c r="F50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</author>
  </authors>
  <commentList>
    <comment ref="C11" authorId="0" shapeId="0" xr:uid="{8E2D2C04-A62B-4E62-8873-12219579456F}">
      <text>
        <r>
          <rPr>
            <b/>
            <sz val="9"/>
            <color indexed="81"/>
            <rFont val="Tahoma"/>
            <charset val="1"/>
          </rPr>
          <t>Nicola:</t>
        </r>
        <r>
          <rPr>
            <sz val="9"/>
            <color indexed="81"/>
            <rFont val="Tahoma"/>
            <charset val="1"/>
          </rPr>
          <t xml:space="preserve">
Usa stesso pool farms di Livestock-Large</t>
        </r>
      </text>
    </comment>
  </commentList>
</comments>
</file>

<file path=xl/sharedStrings.xml><?xml version="1.0" encoding="utf-8"?>
<sst xmlns="http://schemas.openxmlformats.org/spreadsheetml/2006/main" count="602" uniqueCount="478">
  <si>
    <t>ReSemis Financial Model - Navigation</t>
  </si>
  <si>
    <t>Sheet Name</t>
  </si>
  <si>
    <t>Description</t>
  </si>
  <si>
    <t>00_Index</t>
  </si>
  <si>
    <t>This navigation sheet</t>
  </si>
  <si>
    <t>01_Executive_Summary</t>
  </si>
  <si>
    <t>Key metrics and highlights</t>
  </si>
  <si>
    <t>02_TAM_SAM_SOM</t>
  </si>
  <si>
    <t>Market sizing (from Integrated model)</t>
  </si>
  <si>
    <t>03_Product_Lines</t>
  </si>
  <si>
    <t>Product roadmap by year</t>
  </si>
  <si>
    <t>04_Assumptions</t>
  </si>
  <si>
    <t>All manual input assumptions</t>
  </si>
  <si>
    <t>05_Revenue_Model</t>
  </si>
  <si>
    <t>Customer counts and revenue build-up</t>
  </si>
  <si>
    <t>06_COGS</t>
  </si>
  <si>
    <t>Cost of goods sold details</t>
  </si>
  <si>
    <t>07_OpEx</t>
  </si>
  <si>
    <t>Operating expenses</t>
  </si>
  <si>
    <t>08_P&amp;L</t>
  </si>
  <si>
    <t>Profit &amp; Loss statement</t>
  </si>
  <si>
    <t>09_Cash_Flow</t>
  </si>
  <si>
    <t>Cash flow statement with funding rounds</t>
  </si>
  <si>
    <t>10_KPIs</t>
  </si>
  <si>
    <t>Key performance indicators</t>
  </si>
  <si>
    <t>11_Funding</t>
  </si>
  <si>
    <t>Cap table and funding rounds</t>
  </si>
  <si>
    <t>12_Scenarios</t>
  </si>
  <si>
    <t>Conservative / Base / Aggressive cases</t>
  </si>
  <si>
    <t>13_Sensitivity</t>
  </si>
  <si>
    <t>Sensitivity analysis</t>
  </si>
  <si>
    <t>ReSemis - Executive Summary</t>
  </si>
  <si>
    <t>Investment Highlights</t>
  </si>
  <si>
    <t>Addressable Market (Italy)</t>
  </si>
  <si>
    <t>€20-66M TAM</t>
  </si>
  <si>
    <t>Poultry sector focus</t>
  </si>
  <si>
    <t>Target 2028 Revenue</t>
  </si>
  <si>
    <t>€1.8-2.5M</t>
  </si>
  <si>
    <t>Base case conservative scenario</t>
  </si>
  <si>
    <t>Gross Margin Target</t>
  </si>
  <si>
    <t>45-55%</t>
  </si>
  <si>
    <t>Sustainable unit economics</t>
  </si>
  <si>
    <t>Capital Efficiency</t>
  </si>
  <si>
    <t>High</t>
  </si>
  <si>
    <t>Externalized production</t>
  </si>
  <si>
    <t>Key Financial Metrics</t>
  </si>
  <si>
    <t>Metric</t>
  </si>
  <si>
    <t>Revenue (€)</t>
  </si>
  <si>
    <t>Gross Profit (€)</t>
  </si>
  <si>
    <t>Gross Margin %</t>
  </si>
  <si>
    <t>EBITDA (€)</t>
  </si>
  <si>
    <t>EBITDA Margin %</t>
  </si>
  <si>
    <t>Customers (#)</t>
  </si>
  <si>
    <t>Kg Sold</t>
  </si>
  <si>
    <t>Funding Rounds</t>
  </si>
  <si>
    <t>Round</t>
  </si>
  <si>
    <t>Amount</t>
  </si>
  <si>
    <t>Pre-Money</t>
  </si>
  <si>
    <t>Equity %</t>
  </si>
  <si>
    <t>2026 Seed</t>
  </si>
  <si>
    <t>2027 Pre-A</t>
  </si>
  <si>
    <t>Total Addressable Market - Italy Poultry Sector</t>
  </si>
  <si>
    <t>Market Segment</t>
  </si>
  <si>
    <t>RunCover Ovaiole</t>
  </si>
  <si>
    <t>RunCover Broiler</t>
  </si>
  <si>
    <t>LitterCover</t>
  </si>
  <si>
    <t>TOTAL</t>
  </si>
  <si>
    <t>Data Source</t>
  </si>
  <si>
    <t>ResearchGate (2020)</t>
  </si>
  <si>
    <t>BCC EU Report</t>
  </si>
  <si>
    <t>Industry estimates</t>
  </si>
  <si>
    <t>Total animals / volume (Italy)</t>
  </si>
  <si>
    <t>Unit</t>
  </si>
  <si>
    <t>hens/year</t>
  </si>
  <si>
    <t>broilers/year</t>
  </si>
  <si>
    <t>tons/year</t>
  </si>
  <si>
    <t>Average cycles per year</t>
  </si>
  <si>
    <t>Continuous production units</t>
  </si>
  <si>
    <t>Avg feed per unit (kg/year)</t>
  </si>
  <si>
    <t>Total feed consumption (kg/year)</t>
  </si>
  <si>
    <t>ReSemis Inclusion %</t>
  </si>
  <si>
    <t>ReSemis kg/year (TAM volume)</t>
  </si>
  <si>
    <t>TAM (€, low)</t>
  </si>
  <si>
    <t>TAM (€, mid)</t>
  </si>
  <si>
    <t>TAM (€, high)</t>
  </si>
  <si>
    <t>% Addressable (SAM %)</t>
  </si>
  <si>
    <t>SAM (€, low)</t>
  </si>
  <si>
    <t>SAM (€, mid)</t>
  </si>
  <si>
    <t>SAM (€, high)</t>
  </si>
  <si>
    <t>Market Penetration (SOM %)</t>
  </si>
  <si>
    <t>SOM (€, low)</t>
  </si>
  <si>
    <t>SOM (€, mid)</t>
  </si>
  <si>
    <t>SOM (€, high)</t>
  </si>
  <si>
    <t>Product Line Roadmap</t>
  </si>
  <si>
    <t>2026 - Validation Phase</t>
  </si>
  <si>
    <t>• Focus: R&amp;D, validation, hub light, patent (PCT)</t>
  </si>
  <si>
    <t>• Revenue: Minimal (€0-20k from subsidized pilots)</t>
  </si>
  <si>
    <t>2027 - Soft Launch</t>
  </si>
  <si>
    <t>• Focus: First paid customers, unit economics validation</t>
  </si>
  <si>
    <t>• Revenue: €150k-300k</t>
  </si>
  <si>
    <t>• Customers: 30-60 early adopters</t>
  </si>
  <si>
    <t>• Products: RunCover Ovaiole v1.0, RunCover Broiler v1.0, LitterCover v1.0</t>
  </si>
  <si>
    <t>• Pricing: Discounted for early feedback</t>
  </si>
  <si>
    <t>2028 - Commercial Launch</t>
  </si>
  <si>
    <t>• Focus: Full commercial launch through 4-6 partners</t>
  </si>
  <si>
    <t>• Revenue: €1.5M-3M (base case: €2M)</t>
  </si>
  <si>
    <t>• Customers: 200-400</t>
  </si>
  <si>
    <t>• Products: RegLite v1.2 (biostimolante), FullBio Polli v1.1 (feed premix)</t>
  </si>
  <si>
    <t>• Production: 6-10 tons/month by Q4</t>
  </si>
  <si>
    <t>• Channels: B2B partners, direct key accounts, e-commerce</t>
  </si>
  <si>
    <t>2029-2030 - Scale &amp; Optimize</t>
  </si>
  <si>
    <t>• Focus: Geographic expansion, product line extensions</t>
  </si>
  <si>
    <t>• Revenue: €3M-7M</t>
  </si>
  <si>
    <t>• Customers: 400-700</t>
  </si>
  <si>
    <t>• Efficiency: COGS reduction through scale, improved processes</t>
  </si>
  <si>
    <t>ReSemis Financial Model - Core Assumptions</t>
  </si>
  <si>
    <t>All values in BLUE are manual inputs - adjust these to model different scenarios</t>
  </si>
  <si>
    <t>Assumption</t>
  </si>
  <si>
    <t>PRICING</t>
  </si>
  <si>
    <t>RunCover Ovaiole (€/customer/year)</t>
  </si>
  <si>
    <t>RunCover Broiler (€/customer/year)</t>
  </si>
  <si>
    <t>LitterCover (€/partner/year)</t>
  </si>
  <si>
    <t>CUSTOMER ACQUISITION</t>
  </si>
  <si>
    <t>New Ovaiole customers</t>
  </si>
  <si>
    <t>New Broiler customers</t>
  </si>
  <si>
    <t>New LitterCover partners</t>
  </si>
  <si>
    <t>Annual churn rate</t>
  </si>
  <si>
    <t>COSTS</t>
  </si>
  <si>
    <t>COGS per kg (€)</t>
  </si>
  <si>
    <t>Kg per Ovaiole customer</t>
  </si>
  <si>
    <t>Kg per Broiler customer</t>
  </si>
  <si>
    <t>Kg per LitterCover partner</t>
  </si>
  <si>
    <t>OPERATING EXPENSES</t>
  </si>
  <si>
    <t>Team &amp; Salaries (€)</t>
  </si>
  <si>
    <t>R&amp;D &amp; Validation (€)</t>
  </si>
  <si>
    <t>Marketing &amp; Sales (€)</t>
  </si>
  <si>
    <t>General &amp; Admin (€)</t>
  </si>
  <si>
    <t>FUNDING ROUNDS</t>
  </si>
  <si>
    <t>Capital Raised (€)</t>
  </si>
  <si>
    <t>Pre-money Valuation (€)</t>
  </si>
  <si>
    <t>Revenue Build-Up Model</t>
  </si>
  <si>
    <t>Beginning customers</t>
  </si>
  <si>
    <t>New customers</t>
  </si>
  <si>
    <t>Churned customers</t>
  </si>
  <si>
    <t>Ending customers</t>
  </si>
  <si>
    <t>Avg revenue per customer (€)</t>
  </si>
  <si>
    <t>Beginning partners</t>
  </si>
  <si>
    <t>New partners</t>
  </si>
  <si>
    <t>Churned partners</t>
  </si>
  <si>
    <t>Ending partners</t>
  </si>
  <si>
    <t>Avg revenue per partner (€)</t>
  </si>
  <si>
    <t>TOTAL REVENUE (€)</t>
  </si>
  <si>
    <t>Total customers</t>
  </si>
  <si>
    <t>Cost of Goods Sold</t>
  </si>
  <si>
    <t>Component</t>
  </si>
  <si>
    <t>Kg - Ovaiole</t>
  </si>
  <si>
    <t>Kg - Broiler</t>
  </si>
  <si>
    <t>Kg - LitterCover</t>
  </si>
  <si>
    <t>TOTAL KG SOLD</t>
  </si>
  <si>
    <t>TOTAL COGS (€)</t>
  </si>
  <si>
    <t>Revenue (from Revenue Model)</t>
  </si>
  <si>
    <t>Operating Expenses</t>
  </si>
  <si>
    <t>Expense Category</t>
  </si>
  <si>
    <t>Team &amp; Salaries</t>
  </si>
  <si>
    <t>R&amp;D &amp; Validation</t>
  </si>
  <si>
    <t>Marketing &amp; Sales</t>
  </si>
  <si>
    <t>General &amp; Admin</t>
  </si>
  <si>
    <t>TOTAL OPEX (€)</t>
  </si>
  <si>
    <t>Profit &amp; Loss Statement</t>
  </si>
  <si>
    <t>Line Item</t>
  </si>
  <si>
    <t>Revenue</t>
  </si>
  <si>
    <t>COGS</t>
  </si>
  <si>
    <t>Gross Profit</t>
  </si>
  <si>
    <t>Total OpEx</t>
  </si>
  <si>
    <t>EBITDA</t>
  </si>
  <si>
    <t>Cash Flow Statement</t>
  </si>
  <si>
    <t>OPERATING ACTIVITIES</t>
  </si>
  <si>
    <t>Change in Working Capital</t>
  </si>
  <si>
    <t>Operating Cash Flow</t>
  </si>
  <si>
    <t>INVESTING ACTIVITIES</t>
  </si>
  <si>
    <t>CapEx</t>
  </si>
  <si>
    <t>FINANCING ACTIVITIES</t>
  </si>
  <si>
    <t>Equity Raised</t>
  </si>
  <si>
    <t>NET CHANGE IN CASH</t>
  </si>
  <si>
    <t>Beginning Cash</t>
  </si>
  <si>
    <t>Ending Cash</t>
  </si>
  <si>
    <t>Key Performance Indicators</t>
  </si>
  <si>
    <t>KPI</t>
  </si>
  <si>
    <t>UNIT ECONOMICS</t>
  </si>
  <si>
    <t>Avg Revenue per Customer (€)</t>
  </si>
  <si>
    <t>Avg COGS per Customer (€)</t>
  </si>
  <si>
    <t>Gross Profit per Customer (€)</t>
  </si>
  <si>
    <t>CUSTOMER METRICS</t>
  </si>
  <si>
    <t>New Customers Acquired</t>
  </si>
  <si>
    <t>Customer Churn Count</t>
  </si>
  <si>
    <t>Net Customer Addition</t>
  </si>
  <si>
    <t>Total Active Customers</t>
  </si>
  <si>
    <t>EFFICIENCY METRICS</t>
  </si>
  <si>
    <t>Revenue per Kg (€)</t>
  </si>
  <si>
    <t>COGS per Kg (€)</t>
  </si>
  <si>
    <t>Contribution Margin per Kg (€)</t>
  </si>
  <si>
    <t>Funding Rounds &amp; Cap Table</t>
  </si>
  <si>
    <t>Year</t>
  </si>
  <si>
    <t>Amount Raised</t>
  </si>
  <si>
    <t>Post-Money</t>
  </si>
  <si>
    <t>Seed</t>
  </si>
  <si>
    <t>Pre-A</t>
  </si>
  <si>
    <t>Stakeholder</t>
  </si>
  <si>
    <t>Post-Seed %</t>
  </si>
  <si>
    <t>Post-Pre-A %</t>
  </si>
  <si>
    <t>Founders</t>
  </si>
  <si>
    <t>Seed Investors</t>
  </si>
  <si>
    <t>Pre-A Investors</t>
  </si>
  <si>
    <t>Total</t>
  </si>
  <si>
    <t>Scenario Analysis</t>
  </si>
  <si>
    <t>Current model reflects BASE CASE scenario</t>
  </si>
  <si>
    <t>Scenario</t>
  </si>
  <si>
    <t>2028 Revenue</t>
  </si>
  <si>
    <t>2028 Customers</t>
  </si>
  <si>
    <t>Key Assumptions</t>
  </si>
  <si>
    <t>Conservative</t>
  </si>
  <si>
    <t>€1.2M - €1.5M</t>
  </si>
  <si>
    <t>150-200</t>
  </si>
  <si>
    <t>Slower partnership development, 20% lower pricing</t>
  </si>
  <si>
    <t>Base Case</t>
  </si>
  <si>
    <t>€1.8M - €2.5M</t>
  </si>
  <si>
    <t>200-300</t>
  </si>
  <si>
    <t>Current model assumptions</t>
  </si>
  <si>
    <t>Aggressive</t>
  </si>
  <si>
    <t>€3.5M - €5M</t>
  </si>
  <si>
    <t>400-600</t>
  </si>
  <si>
    <t>Faster partner network activation, regulatory fast-track</t>
  </si>
  <si>
    <t>Scenario Comparison - 5 Year Revenue</t>
  </si>
  <si>
    <t>Conservative (€)</t>
  </si>
  <si>
    <t>Base Case (€)</t>
  </si>
  <si>
    <t>Aggressive (€)</t>
  </si>
  <si>
    <t>Sensitivity Analysis</t>
  </si>
  <si>
    <t>Key Driver</t>
  </si>
  <si>
    <t>Base Value</t>
  </si>
  <si>
    <t>-20%</t>
  </si>
  <si>
    <t>-10%</t>
  </si>
  <si>
    <t>Base</t>
  </si>
  <si>
    <t>+10%</t>
  </si>
  <si>
    <t>+20%</t>
  </si>
  <si>
    <t>2028 Revenue Sensitivity</t>
  </si>
  <si>
    <t>Customer Acquisition</t>
  </si>
  <si>
    <t>Impact on 2028 Revenue (€)</t>
  </si>
  <si>
    <t>Pricing</t>
  </si>
  <si>
    <t>COGS per kg</t>
  </si>
  <si>
    <t>Impact on 2028 Gross Margin %</t>
  </si>
  <si>
    <t>Inclusion % (Resemis per kg Consumed)</t>
  </si>
  <si>
    <t>Avg order size Resemis kg/Year</t>
  </si>
  <si>
    <t>Italian poultry meat production tons/year</t>
  </si>
  <si>
    <t>Modello B2B per account</t>
  </si>
  <si>
    <t>Livestock - Large</t>
  </si>
  <si>
    <t>Livestock - Mid</t>
  </si>
  <si>
    <t>Acquaculture</t>
  </si>
  <si>
    <t>Pet</t>
  </si>
  <si>
    <t>Specie</t>
  </si>
  <si>
    <t>Mangime annuo</t>
  </si>
  <si>
    <t>Animali equivalenti</t>
  </si>
  <si>
    <t>Average Equivalent Animals per customer</t>
  </si>
  <si>
    <t>-</t>
  </si>
  <si>
    <t/>
  </si>
  <si>
    <t>Pollo</t>
  </si>
  <si>
    <t>50 kg</t>
  </si>
  <si>
    <t>Consumption kg</t>
  </si>
  <si>
    <t>Suino</t>
  </si>
  <si>
    <t>300 kg</t>
  </si>
  <si>
    <t>Bovino</t>
  </si>
  <si>
    <t>3.000 kg</t>
  </si>
  <si>
    <t>Pesce allevamento</t>
  </si>
  <si>
    <t>25 kg</t>
  </si>
  <si>
    <t>Avg unit price €/kg</t>
  </si>
  <si>
    <t>Avg annual revenue per customer (€)</t>
  </si>
  <si>
    <t>Total units / volume Italy</t>
  </si>
  <si>
    <t>https://www.cia.it/news/notizie/censimento-istat-meno-aziende-agricole-ma-piu-grandi-e-sempre-familiari/?utm_source=chatgpt.com</t>
  </si>
  <si>
    <t>https://www.fao.org/fishery/es/countrysector/it/en?utm_source=chatgpt.com</t>
  </si>
  <si>
    <t>https://www.zoomark.it/media/zoomark/pressrelease/2025/comunicati%20stampa/Assalco_-_Zoomark_Report_2025_-_Summary.pdf?utm_source=chatgpt.com</t>
  </si>
  <si>
    <t>Total farms in target geography (TAM)</t>
  </si>
  <si>
    <t>TAM (€)</t>
  </si>
  <si>
    <t>% addressable with current product (SAM %)</t>
  </si>
  <si>
    <t>Serviceable customers (SAM)</t>
  </si>
  <si>
    <t>SAM (€)</t>
  </si>
  <si>
    <t>Expected market penetration (SOM %)</t>
  </si>
  <si>
    <t>Target customers (SOM)</t>
  </si>
  <si>
    <t>SOM (€)</t>
  </si>
  <si>
    <t>Price per kg (€) - low</t>
  </si>
  <si>
    <t>Price per kg (€) - mid</t>
  </si>
  <si>
    <t>Price per kg (€) - high</t>
  </si>
  <si>
    <t>Average animal weight (kg)</t>
  </si>
  <si>
    <t>Average animal litter (kg/year)</t>
  </si>
  <si>
    <t>Tabella di conversione per Animali Equivalenti</t>
  </si>
  <si>
    <t>Series A</t>
  </si>
  <si>
    <t>Post-Series A %</t>
  </si>
  <si>
    <t>Series A Investors</t>
  </si>
  <si>
    <t>Cap Table Evolution (%)</t>
  </si>
  <si>
    <t>Cap Table Evolution (€)</t>
  </si>
  <si>
    <t>2028 Series A</t>
  </si>
  <si>
    <t>ReSemis - Unit Costs &amp; Bill of Materials (BOM)</t>
  </si>
  <si>
    <t>Source: BOOK_RESEMIS_business_plus_financials.pdf - Sezione 4.4</t>
  </si>
  <si>
    <t>STRATO ESTERNO (Outer Coating)</t>
  </si>
  <si>
    <t>Ingrediente</t>
  </si>
  <si>
    <t>%</t>
  </si>
  <si>
    <t>€/kg ingrediente</t>
  </si>
  <si>
    <t>€/kg prodotto</t>
  </si>
  <si>
    <t>Funzione</t>
  </si>
  <si>
    <t>Fonte</t>
  </si>
  <si>
    <t>Alginato di sodio</t>
  </si>
  <si>
    <t>Film protettivo idrogel</t>
  </si>
  <si>
    <t>Fornitori chimici industriali</t>
  </si>
  <si>
    <t>Cloruro di calcio</t>
  </si>
  <si>
    <t>Reticolante per gelificazione</t>
  </si>
  <si>
    <t>Chimica industriale, agraria</t>
  </si>
  <si>
    <t>Gomma di guar</t>
  </si>
  <si>
    <t>Rinforzo strutturale e resistenza digestiva</t>
  </si>
  <si>
    <t>Amazon bulk, Tecnosur</t>
  </si>
  <si>
    <t>Chitosano (opzionale)</t>
  </si>
  <si>
    <t>Azione antimicrobica naturale</t>
  </si>
  <si>
    <t>Fornitori biotech</t>
  </si>
  <si>
    <t>L. plantarum</t>
  </si>
  <si>
    <t>Controllo patogeni, miglioramento intestinale</t>
  </si>
  <si>
    <t>Sacco System, Kerry</t>
  </si>
  <si>
    <t>L. reuteri</t>
  </si>
  <si>
    <t>Produzione reuterina, equilibrio intestinale</t>
  </si>
  <si>
    <t>Fornitori fermenti</t>
  </si>
  <si>
    <t>Inulina + FOS</t>
  </si>
  <si>
    <t>Prebiotici per supporto microbiota</t>
  </si>
  <si>
    <t>Erboristerie, Europlants</t>
  </si>
  <si>
    <t>Sodio citrato</t>
  </si>
  <si>
    <t>Stabilizzatore pH e regolatore solubilità</t>
  </si>
  <si>
    <t>Chimica alimentare</t>
  </si>
  <si>
    <t>Enzimi digestivi</t>
  </si>
  <si>
    <t>Attivazione post-espulsione</t>
  </si>
  <si>
    <t>Novozymes, zootecnia</t>
  </si>
  <si>
    <t>Tannini/polifenoli</t>
  </si>
  <si>
    <t>Azione antiossidante e antimicrobica</t>
  </si>
  <si>
    <t>Fitoterapia, Acacia</t>
  </si>
  <si>
    <t>STRATO INTERNO (Inner Coating)</t>
  </si>
  <si>
    <t>Pectina</t>
  </si>
  <si>
    <t>Addensante da agrumi</t>
  </si>
  <si>
    <t>Farmalabor, alimentare</t>
  </si>
  <si>
    <t>B. subtilis</t>
  </si>
  <si>
    <t>Batterio utile</t>
  </si>
  <si>
    <t>Microrganismi tecnici</t>
  </si>
  <si>
    <t>T. harzianum</t>
  </si>
  <si>
    <t>Fungo stimolatore</t>
  </si>
  <si>
    <t>AgriBio, Biogard</t>
  </si>
  <si>
    <t>Argilla bentonite</t>
  </si>
  <si>
    <t>Protezione fisica</t>
  </si>
  <si>
    <t>Agraria, fornitori</t>
  </si>
  <si>
    <t>Biochar attivato</t>
  </si>
  <si>
    <t>Migliora ritenzione</t>
  </si>
  <si>
    <t>Biochar locali</t>
  </si>
  <si>
    <t>Alghe marine</t>
  </si>
  <si>
    <t>Stimolatore naturale</t>
  </si>
  <si>
    <t>AlgaPlas, Seasol</t>
  </si>
  <si>
    <t>Peptidi</t>
  </si>
  <si>
    <t>Nutrimento</t>
  </si>
  <si>
    <t>Biotech</t>
  </si>
  <si>
    <t>TOTALE MATERIE PRIME</t>
  </si>
  <si>
    <t>COSTI INDUSTRIALI E GENERALI (per kg)</t>
  </si>
  <si>
    <t>Voce</t>
  </si>
  <si>
    <t>€/kg</t>
  </si>
  <si>
    <t>Note</t>
  </si>
  <si>
    <t>Lavorazione (miscelazione, gelificazione, essiccazione)</t>
  </si>
  <si>
    <t>Conto terzi / toll manufacturing</t>
  </si>
  <si>
    <t>Packaging e logistica</t>
  </si>
  <si>
    <t>Film barriera, formati 5-10-25 kg</t>
  </si>
  <si>
    <t>Controllo qualità</t>
  </si>
  <si>
    <t>QA/QC, CoA, tracciabilità lotti</t>
  </si>
  <si>
    <t>Ammortamento impianto e costi generali</t>
  </si>
  <si>
    <t>Overhead produzione</t>
  </si>
  <si>
    <t>TOTALE COSTI INDUSTRIALI</t>
  </si>
  <si>
    <t>COSTO TOTALE DI PRODUZIONE</t>
  </si>
  <si>
    <t>Costo senza opzionali (chitosano)</t>
  </si>
  <si>
    <t>PREZZI DI VENDITA PER SEGMENTO</t>
  </si>
  <si>
    <t>Segmento</t>
  </si>
  <si>
    <t>Prezzo €/kg</t>
  </si>
  <si>
    <t>Costo €/kg</t>
  </si>
  <si>
    <t>Margine €/kg</t>
  </si>
  <si>
    <t>Margine %</t>
  </si>
  <si>
    <t>Allevamenti (polli, suini, ruminanti)</t>
  </si>
  <si>
    <t>Pet Care (cani, gatti)</t>
  </si>
  <si>
    <t>Agricolo / Riforestazione</t>
  </si>
  <si>
    <t>Ittico (acquacoltura)</t>
  </si>
  <si>
    <t>ReSemis - Budget Dettagliato per Fase</t>
  </si>
  <si>
    <t>Source: BOOK_RESEMIS + Roadmap documents</t>
  </si>
  <si>
    <t>FASE 1 - R&amp;D &amp; Validazione (2026)</t>
  </si>
  <si>
    <t>Budget: €200.000 (Seed Round)</t>
  </si>
  <si>
    <t>Categoria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</si>
  <si>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</si>
  <si>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</si>
  <si>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</si>
  <si>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</si>
  <si>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</si>
  <si>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</si>
  <si>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</si>
  <si>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</si>
  <si>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</si>
  <si>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</si>
  <si>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</si>
  <si>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</si>
  <si>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TOTALE</t>
  </si>
  <si>
    <t>Sphera (encapsulation lab)</t>
  </si>
  <si>
    <t>Brevetto &amp; IP (PCT)</t>
  </si>
  <si>
    <t>Team (founders + consulenze)</t>
  </si>
  <si>
    <t>Affitto/Hub Light</t>
  </si>
  <si>
    <t>Ufficio/attrezzi/test campo</t>
  </si>
  <si>
    <t>Admin &amp; contabilità</t>
  </si>
  <si>
    <t>Buffer &amp; imprevisti</t>
  </si>
  <si>
    <t>TOTALE FASE 1</t>
  </si>
  <si>
    <t>FASE 2 - Pre-industrializzazione (2027)</t>
  </si>
  <si>
    <t>Budget: €1.500.000 (Pre-A Round)</t>
  </si>
  <si>
    <t>Produzione (impianti pilota)</t>
  </si>
  <si>
    <t>Capitale circolante</t>
  </si>
  <si>
    <t>Team (vendite + ops)</t>
  </si>
  <si>
    <t>Regolatorio &amp; validazioni</t>
  </si>
  <si>
    <t>IP (PCT/national phase)</t>
  </si>
  <si>
    <t>Contingenze</t>
  </si>
  <si>
    <t>TOTALE FASE 2</t>
  </si>
  <si>
    <t>FASE 3 - Go-to-Market (2028)</t>
  </si>
  <si>
    <t>Budget: €4.000.000 (Series A Round)</t>
  </si>
  <si>
    <t>Capacity &amp; CapEx/linea Valdarno</t>
  </si>
  <si>
    <t>Working capital</t>
  </si>
  <si>
    <t>Team commerciale &amp; field</t>
  </si>
  <si>
    <t>Marketing &amp; GTM</t>
  </si>
  <si>
    <t>Qualità/regolatorio (FPR/CE)</t>
  </si>
  <si>
    <t>Contingenze &amp; hedging</t>
  </si>
  <si>
    <t>TOTALE FASE 3</t>
  </si>
  <si>
    <t>RIEPILOGO BUDGET PER FASE</t>
  </si>
  <si>
    <t>Fase</t>
  </si>
  <si>
    <t>Anno</t>
  </si>
  <si>
    <t>Budget Totale</t>
  </si>
  <si>
    <t>Funding Round</t>
  </si>
  <si>
    <t>% Use of Funds</t>
  </si>
  <si>
    <t>Fase 1 - R&amp;D</t>
  </si>
  <si>
    <t>Seed (€200k)</t>
  </si>
  <si>
    <t>Fase 2 - Pre-industria</t>
  </si>
  <si>
    <t>Pre-A (€1.5M)</t>
  </si>
  <si>
    <t>Fase 3 - GTM</t>
  </si>
  <si>
    <t>Series A (€4M)</t>
  </si>
  <si>
    <t>TOTALE 3 ANNI</t>
  </si>
  <si>
    <t>CONFRONTO CON SCHEDA 07_OpEx</t>
  </si>
  <si>
    <t>Questo budget dettagliato si riconcilia con la scheda OpEx semplificata:</t>
  </si>
  <si>
    <t>- Fase 1 copre principalmente R&amp;D, IP e team base</t>
  </si>
  <si>
    <t>- Fase 2 include produzione pilota e working capital non in OpEx</t>
  </si>
  <si>
    <t>- Fase 3 include CapEx e working capital oltre all'OpEx operativo</t>
  </si>
  <si>
    <t>Nota: La scheda 07_OpEx riflette solo costi operativi ricorrenti, questo budget include anche investimenti</t>
  </si>
  <si>
    <t>SEGMENTI AGRICOLI AGGIUNTIVI (da 02_1_TAM_SAM_SOM_Agricolo)</t>
  </si>
  <si>
    <t>Note: questi segmenti sono attivati progressivamente dal 2028</t>
  </si>
  <si>
    <t>Livestock Large (bovini, suini grandi)</t>
  </si>
  <si>
    <t xml:space="preserve">  New customers</t>
  </si>
  <si>
    <t xml:space="preserve">  Avg revenue per customer (€/year)</t>
  </si>
  <si>
    <t xml:space="preserve">  Kg per customer</t>
  </si>
  <si>
    <t>Livestock Mid (ovini, caprini, suini medi)</t>
  </si>
  <si>
    <t>Acquaculture (orate, branzini)</t>
  </si>
  <si>
    <t>Churn rate segmenti agricoli</t>
  </si>
  <si>
    <t>SEGMENTI AGRICOLI AGGIUNTIVI</t>
  </si>
  <si>
    <t>Livestock Large</t>
  </si>
  <si>
    <t>Livestock Mid</t>
  </si>
  <si>
    <t>AGRICULTURAL SEGMENTS SUBTOTAL</t>
  </si>
  <si>
    <t>Customers</t>
  </si>
  <si>
    <t>GRAND TOTAL (All Segments)</t>
  </si>
  <si>
    <t>Total Revenue (€)</t>
  </si>
  <si>
    <t>Total Customers</t>
  </si>
  <si>
    <t>Kg Sold (Agricultural Segments)</t>
  </si>
  <si>
    <t>YoY Revenue Growth %</t>
  </si>
  <si>
    <t>REVENUE MIX (%)</t>
  </si>
  <si>
    <t>Poultry (Ovaiole + Broiler + Litter)</t>
  </si>
  <si>
    <t>Agricultural (Large + Mid + Aqua)</t>
  </si>
  <si>
    <t>POULTRY SEGMENTS</t>
  </si>
  <si>
    <t>Subtotal Poultry Kg</t>
  </si>
  <si>
    <t>AGRICULTURAL SEGMENTS</t>
  </si>
  <si>
    <t>Kg - Livestock Large</t>
  </si>
  <si>
    <t>Kg - Livestock Mid</t>
  </si>
  <si>
    <t>Kg - Acquaculture</t>
  </si>
  <si>
    <t>Subtotal Agricultural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</si>
</sst>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\€#,##0"/>
    <numFmt numFmtId="165" formatCode="\€#,##0,,&quot;M&quot;"/>
    <numFmt numFmtId="166" formatCode="\€#,##0.00"/>
    <numFmt numFmtId="167" formatCode="0.0%"/>
    <numFmt numFmtId="168" formatCode="_-* #,##0_-;\-* #,##0_-;_-* &quot;-&quot;??_-;_-@_-"/>
    <numFmt numFmtId="169" formatCode="_-* #,##0\ [$€-410]_-;\-* #,##0\ [$€-410]_-;_-* &quot;-&quot;??\ [$€-410]_-;_-@_-"/>
    <numFmt numFmtId="170" formatCode="#,##0.0"/>
  </numFmts>
  <fonts count="3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color rgb="FF0000FF"/>
      <name val="Calibri"/>
    </font>
    <font>
      <i/>
      <sz val="11"/>
      <color rgb="FF0000FF"/>
      <name val="Calibri"/>
    </font>
    <font>
      <b/>
      <sz val="12"/>
      <name val="Calibri"/>
    </font>
    <font>
      <b/>
      <sz val="11"/>
      <color rgb="FF2E5090"/>
      <name val="Calibri"/>
    </font>
    <font>
      <b/>
      <sz val="11"/>
      <name val="Calibri"/>
    </font>
    <font>
      <b/>
      <sz val="11"/>
      <name val="Calibri"/>
    </font>
    <font>
      <i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</font>
    <font>
      <b/>
      <u/>
      <sz val="11"/>
      <color theme="1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00FF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</font>
    <font>
      <sz val="8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8000"/>
      <name val="Calibri"/>
    </font>
    <font>
      <b/>
      <sz val="14"/>
      <color rgb="FFFFFFFF"/>
      <name val="Calibri"/>
    </font>
    <font>
      <sz val="11"/>
      <color rgb="FF008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E8E8"/>
        <bgColor rgb="FFE8E8E8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BE4D5"/>
        <bgColor rgb="FFFBE4D5"/>
      </patternFill>
    </fill>
    <fill>
      <patternFill patternType="solid">
        <fgColor rgb="FFFFE699"/>
        <bgColor rgb="FFFFE69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0" fontId="14" fillId="0" borderId="0"/>
    <xf numFmtId="43" fontId="11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3" fontId="4" fillId="0" borderId="0" xfId="0" applyNumberFormat="1" applyFont="1"/>
    <xf numFmtId="3" fontId="0" fillId="3" borderId="0" xfId="0" applyNumberFormat="1" applyFill="1"/>
    <xf numFmtId="0" fontId="4" fillId="0" borderId="0" xfId="0" applyFont="1"/>
    <xf numFmtId="10" fontId="4" fillId="0" borderId="0" xfId="0" applyNumberFormat="1" applyFont="1"/>
    <xf numFmtId="164" fontId="4" fillId="0" borderId="0" xfId="0" applyNumberFormat="1" applyFont="1"/>
    <xf numFmtId="164" fontId="0" fillId="3" borderId="0" xfId="0" applyNumberFormat="1" applyFill="1"/>
    <xf numFmtId="165" fontId="0" fillId="3" borderId="0" xfId="0" applyNumberFormat="1" applyFill="1"/>
    <xf numFmtId="9" fontId="4" fillId="0" borderId="0" xfId="0" applyNumberFormat="1" applyFon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0" fillId="3" borderId="0" xfId="0" applyFill="1"/>
    <xf numFmtId="164" fontId="8" fillId="4" borderId="0" xfId="0" applyNumberFormat="1" applyFont="1" applyFill="1"/>
    <xf numFmtId="0" fontId="8" fillId="0" borderId="0" xfId="0" applyFont="1"/>
    <xf numFmtId="166" fontId="0" fillId="3" borderId="0" xfId="0" applyNumberFormat="1" applyFill="1"/>
    <xf numFmtId="164" fontId="8" fillId="5" borderId="0" xfId="0" applyNumberFormat="1" applyFont="1" applyFill="1"/>
    <xf numFmtId="167" fontId="0" fillId="3" borderId="0" xfId="0" applyNumberFormat="1" applyFill="1"/>
    <xf numFmtId="164" fontId="8" fillId="6" borderId="0" xfId="0" applyNumberFormat="1" applyFont="1" applyFill="1"/>
    <xf numFmtId="164" fontId="8" fillId="7" borderId="0" xfId="0" applyNumberFormat="1" applyFont="1" applyFill="1"/>
    <xf numFmtId="0" fontId="9" fillId="0" borderId="0" xfId="0" applyFont="1"/>
    <xf numFmtId="0" fontId="2" fillId="2" borderId="0" xfId="0" applyFont="1" applyFill="1"/>
    <xf numFmtId="0" fontId="10" fillId="0" borderId="0" xfId="0" applyFont="1"/>
    <xf numFmtId="0" fontId="13" fillId="0" borderId="2" xfId="0" applyFont="1" applyBorder="1"/>
    <xf numFmtId="0" fontId="12" fillId="0" borderId="2" xfId="0" applyFont="1" applyBorder="1"/>
    <xf numFmtId="9" fontId="15" fillId="8" borderId="2" xfId="0" applyNumberFormat="1" applyFont="1" applyFill="1" applyBorder="1"/>
    <xf numFmtId="0" fontId="0" fillId="0" borderId="0" xfId="0" quotePrefix="1"/>
    <xf numFmtId="0" fontId="0" fillId="0" borderId="2" xfId="0" applyBorder="1"/>
    <xf numFmtId="0" fontId="12" fillId="0" borderId="0" xfId="0" applyFont="1"/>
    <xf numFmtId="3" fontId="0" fillId="0" borderId="0" xfId="0" applyNumberFormat="1"/>
    <xf numFmtId="0" fontId="13" fillId="0" borderId="4" xfId="0" applyFont="1" applyBorder="1"/>
    <xf numFmtId="9" fontId="0" fillId="0" borderId="0" xfId="0" applyNumberFormat="1"/>
    <xf numFmtId="0" fontId="16" fillId="0" borderId="5" xfId="0" applyFont="1" applyBorder="1"/>
    <xf numFmtId="9" fontId="17" fillId="8" borderId="5" xfId="0" applyNumberFormat="1" applyFont="1" applyFill="1" applyBorder="1"/>
    <xf numFmtId="9" fontId="14" fillId="0" borderId="2" xfId="2" applyNumberFormat="1" applyBorder="1"/>
    <xf numFmtId="9" fontId="18" fillId="0" borderId="2" xfId="2" applyNumberFormat="1" applyFont="1" applyBorder="1"/>
    <xf numFmtId="169" fontId="0" fillId="0" borderId="0" xfId="0" applyNumberFormat="1"/>
    <xf numFmtId="170" fontId="4" fillId="0" borderId="0" xfId="0" applyNumberFormat="1" applyFont="1"/>
    <xf numFmtId="170" fontId="0" fillId="0" borderId="0" xfId="0" applyNumberFormat="1"/>
    <xf numFmtId="0" fontId="19" fillId="0" borderId="0" xfId="0" applyFont="1"/>
    <xf numFmtId="10" fontId="19" fillId="0" borderId="0" xfId="1" applyNumberFormat="1" applyFont="1"/>
    <xf numFmtId="168" fontId="20" fillId="9" borderId="2" xfId="0" applyNumberFormat="1" applyFont="1" applyFill="1" applyBorder="1"/>
    <xf numFmtId="9" fontId="20" fillId="9" borderId="2" xfId="0" applyNumberFormat="1" applyFont="1" applyFill="1" applyBorder="1"/>
    <xf numFmtId="168" fontId="20" fillId="9" borderId="4" xfId="0" applyNumberFormat="1" applyFont="1" applyFill="1" applyBorder="1"/>
    <xf numFmtId="168" fontId="13" fillId="10" borderId="2" xfId="0" applyNumberFormat="1" applyFont="1" applyFill="1" applyBorder="1"/>
    <xf numFmtId="169" fontId="16" fillId="10" borderId="5" xfId="0" applyNumberFormat="1" applyFont="1" applyFill="1" applyBorder="1"/>
    <xf numFmtId="169" fontId="13" fillId="10" borderId="5" xfId="0" applyNumberFormat="1" applyFont="1" applyFill="1" applyBorder="1"/>
    <xf numFmtId="168" fontId="16" fillId="10" borderId="4" xfId="0" applyNumberFormat="1" applyFont="1" applyFill="1" applyBorder="1"/>
    <xf numFmtId="0" fontId="22" fillId="11" borderId="3" xfId="0" applyFont="1" applyFill="1" applyBorder="1" applyAlignment="1">
      <alignment horizontal="center"/>
    </xf>
    <xf numFmtId="9" fontId="17" fillId="8" borderId="2" xfId="0" applyNumberFormat="1" applyFont="1" applyFill="1" applyBorder="1"/>
    <xf numFmtId="9" fontId="17" fillId="8" borderId="4" xfId="0" applyNumberFormat="1" applyFont="1" applyFill="1" applyBorder="1"/>
    <xf numFmtId="167" fontId="12" fillId="3" borderId="0" xfId="0" applyNumberFormat="1" applyFont="1" applyFill="1"/>
    <xf numFmtId="0" fontId="26" fillId="0" borderId="0" xfId="0" applyFont="1"/>
    <xf numFmtId="169" fontId="0" fillId="3" borderId="0" xfId="0" applyNumberFormat="1" applyFill="1"/>
    <xf numFmtId="169" fontId="12" fillId="3" borderId="0" xfId="0" applyNumberFormat="1" applyFont="1" applyFill="1"/>
    <xf numFmtId="9" fontId="14" fillId="0" borderId="2" xfId="2" applyNumberFormat="1" applyBorder="1" applyAlignment="1">
      <alignment horizontal="center"/>
    </xf>
    <xf numFmtId="0" fontId="0" fillId="0" borderId="2" xfId="0" applyBorder="1"/>
    <xf numFmtId="168" fontId="20" fillId="9" borderId="4" xfId="0" applyNumberFormat="1" applyFont="1" applyFill="1" applyBorder="1" applyAlignment="1">
      <alignment horizontal="center"/>
    </xf>
    <xf numFmtId="0" fontId="23" fillId="10" borderId="4" xfId="0" applyFont="1" applyFill="1" applyBorder="1"/>
    <xf numFmtId="169" fontId="13" fillId="10" borderId="5" xfId="0" applyNumberFormat="1" applyFont="1" applyFill="1" applyBorder="1" applyAlignment="1">
      <alignment horizontal="center"/>
    </xf>
    <xf numFmtId="0" fontId="21" fillId="10" borderId="5" xfId="0" applyFont="1" applyFill="1" applyBorder="1"/>
    <xf numFmtId="0" fontId="28" fillId="12" borderId="0" xfId="0" applyFont="1" applyFill="1"/>
    <xf numFmtId="0" fontId="0" fillId="12" borderId="0" xfId="0" applyFill="1"/>
    <xf numFmtId="0" fontId="29" fillId="0" borderId="0" xfId="0" applyFont="1"/>
    <xf numFmtId="0" fontId="12" fillId="13" borderId="0" xfId="0" applyFont="1" applyFill="1"/>
    <xf numFmtId="0" fontId="0" fillId="13" borderId="0" xfId="0" applyFill="1"/>
    <xf numFmtId="167" fontId="0" fillId="0" borderId="0" xfId="0" applyNumberFormat="1"/>
    <xf numFmtId="0" fontId="30" fillId="0" borderId="0" xfId="0" applyFont="1"/>
    <xf numFmtId="0" fontId="12" fillId="14" borderId="0" xfId="0" applyFont="1" applyFill="1"/>
    <xf numFmtId="0" fontId="0" fillId="14" borderId="0" xfId="0" applyFill="1"/>
    <xf numFmtId="0" fontId="12" fillId="15" borderId="0" xfId="0" applyFont="1" applyFill="1"/>
    <xf numFmtId="167" fontId="12" fillId="15" borderId="0" xfId="0" applyNumberFormat="1" applyFont="1" applyFill="1"/>
    <xf numFmtId="0" fontId="0" fillId="15" borderId="0" xfId="0" applyFill="1"/>
    <xf numFmtId="166" fontId="12" fillId="15" borderId="0" xfId="0" applyNumberFormat="1" applyFont="1" applyFill="1"/>
    <xf numFmtId="0" fontId="12" fillId="16" borderId="0" xfId="0" applyFont="1" applyFill="1"/>
    <xf numFmtId="0" fontId="0" fillId="16" borderId="0" xfId="0" applyFill="1"/>
    <xf numFmtId="0" fontId="31" fillId="17" borderId="0" xfId="0" applyFont="1" applyFill="1"/>
    <xf numFmtId="0" fontId="0" fillId="17" borderId="0" xfId="0" applyFill="1"/>
    <xf numFmtId="166" fontId="31" fillId="17" borderId="0" xfId="0" applyNumberFormat="1" applyFont="1" applyFill="1"/>
    <xf numFmtId="0" fontId="32" fillId="0" borderId="0" xfId="0" applyFont="1"/>
    <xf numFmtId="166" fontId="32" fillId="0" borderId="0" xfId="0" applyNumberFormat="1" applyFont="1"/>
    <xf numFmtId="0" fontId="12" fillId="18" borderId="0" xfId="0" applyFont="1" applyFill="1"/>
    <xf numFmtId="0" fontId="0" fillId="18" borderId="0" xfId="0" applyFill="1"/>
    <xf numFmtId="164" fontId="30" fillId="0" borderId="0" xfId="0" applyNumberFormat="1" applyFont="1"/>
    <xf numFmtId="164" fontId="12" fillId="15" borderId="0" xfId="0" applyNumberFormat="1" applyFont="1" applyFill="1"/>
    <xf numFmtId="0" fontId="12" fillId="17" borderId="0" xfId="0" applyFont="1" applyFill="1"/>
    <xf numFmtId="164" fontId="12" fillId="17" borderId="0" xfId="0" applyNumberFormat="1" applyFont="1" applyFill="1"/>
    <xf numFmtId="0" fontId="33" fillId="12" borderId="0" xfId="0" applyFont="1" applyFill="1"/>
    <xf numFmtId="164" fontId="0" fillId="0" borderId="0" xfId="0" applyNumberFormat="1"/>
    <xf numFmtId="166" fontId="34" fillId="0" borderId="0" xfId="0" applyNumberFormat="1" applyFont="1"/>
    <xf numFmtId="9" fontId="30" fillId="0" borderId="0" xfId="0" applyNumberFormat="1" applyFont="1"/>
    <xf numFmtId="164" fontId="12" fillId="0" borderId="0" xfId="0" applyNumberFormat="1" applyFont="1"/>
    <xf numFmtId="0" fontId="35" fillId="12" borderId="0" xfId="0" applyFont="1" applyFill="1"/>
    <xf numFmtId="3" fontId="0" fillId="13" borderId="0" xfId="0" applyNumberFormat="1" applyFill="1"/>
    <xf numFmtId="0" fontId="8" fillId="14" borderId="0" xfId="0" applyFont="1" applyFill="1"/>
    <xf numFmtId="164" fontId="8" fillId="14" borderId="0" xfId="0" applyNumberFormat="1" applyFont="1" applyFill="1"/>
    <xf numFmtId="167" fontId="12" fillId="0" borderId="0" xfId="0" applyNumberFormat="1" applyFont="1"/>
    <xf numFmtId="166" fontId="36" fillId="0" borderId="0" xfId="0" applyNumberFormat="1" applyFont="1"/>
    <xf numFmtId="164" fontId="12" fillId="16" borderId="0" xfId="0" applyNumberFormat="1" applyFont="1" applyFill="1"/>
    <xf numFmtId="164" fontId="36" fillId="0" borderId="0" xfId="0" applyNumberFormat="1" applyFont="1"/>
    <xf numFmtId="167" fontId="32" fillId="3" borderId="0" xfId="0" applyNumberFormat="1" applyFont="1" applyFill="1"/>
    <xf numFmtId="0" fontId="8" fillId="16" borderId="0" xfId="0" applyFont="1" applyFill="1"/>
    <xf numFmtId="0" fontId="6" fillId="17" borderId="0" xfId="0" applyFont="1" applyFill="1"/>
    <xf numFmtId="164" fontId="6" fillId="17" borderId="0" xfId="0" applyNumberFormat="1" applyFont="1" applyFill="1"/>
    <xf numFmtId="168" fontId="8" fillId="5" borderId="0" xfId="3" applyNumberFormat="1" applyFont="1" applyFill="1"/>
    <xf numFmtId="168" fontId="0" fillId="0" borderId="0" xfId="3" applyNumberFormat="1" applyFont="1"/>
    <xf numFmtId="168" fontId="12" fillId="0" borderId="0" xfId="3" applyNumberFormat="1" applyFont="1"/>
    <xf numFmtId="43" fontId="12" fillId="15" borderId="0" xfId="3" applyFont="1" applyFill="1"/>
    <xf numFmtId="168" fontId="0" fillId="3" borderId="0" xfId="3" applyNumberFormat="1" applyFont="1" applyFill="1"/>
    <xf numFmtId="168" fontId="8" fillId="4" borderId="0" xfId="3" applyNumberFormat="1" applyFont="1" applyFill="1"/>
  </cellXfs>
  <cellStyles count="4">
    <cellStyle name="Comma" xfId="3" builtinId="3"/>
    <cellStyle name="Hyperlink 2" xfId="2" xr:uid="{FEB26CB6-F0F4-4366-A341-A1D254FEDFEB}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cola\Documents\Resemis\Resemis_Financial_Model_Integrated.xlsx" TargetMode="External"/><Relationship Id="rId1" Type="http://schemas.openxmlformats.org/officeDocument/2006/relationships/externalLinkPath" Target="https://d.docs.live.net/c8037e283e550f01/Documenti/ReSemis/Resemis_Financial_Model_Integr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Assumptions"/>
      <sheetName val="Unit Economics"/>
      <sheetName val="P&amp;L"/>
      <sheetName val="TAM Agricolo"/>
      <sheetName val="TAM Poultry"/>
      <sheetName val="Cashflow"/>
      <sheetName val="Valuation"/>
      <sheetName val="Scenario"/>
      <sheetName val="Scenari"/>
      <sheetName val="Sensitivity"/>
    </sheetNames>
    <sheetDataSet>
      <sheetData sheetId="0" refreshError="1"/>
      <sheetData sheetId="1">
        <row r="4">
          <cell r="C4">
            <v>3000</v>
          </cell>
        </row>
        <row r="5">
          <cell r="C5">
            <v>0.6</v>
          </cell>
        </row>
        <row r="6">
          <cell r="C6">
            <v>0.15</v>
          </cell>
        </row>
        <row r="7">
          <cell r="C7">
            <v>1200</v>
          </cell>
        </row>
        <row r="8">
          <cell r="C8">
            <v>500</v>
          </cell>
        </row>
        <row r="9">
          <cell r="C9">
            <v>180000</v>
          </cell>
        </row>
      </sheetData>
      <sheetData sheetId="2">
        <row r="5">
          <cell r="C5">
            <v>17000</v>
          </cell>
        </row>
      </sheetData>
      <sheetData sheetId="3">
        <row r="10">
          <cell r="C10">
            <v>1070000</v>
          </cell>
          <cell r="D10">
            <v>1632500</v>
          </cell>
          <cell r="E10">
            <v>2447500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9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38744D-AF95-4F6D-A486-D3DC5469A764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oomark.it/media/zoomark/pressrelease/2025/comunicati%20stampa/Assalco_-_Zoomark_Report_2025_-_Summary.pdf?utm_source=chatgpt.com" TargetMode="External"/><Relationship Id="rId2" Type="http://schemas.openxmlformats.org/officeDocument/2006/relationships/hyperlink" Target="https://www.fao.org/fishery/es/countrysector/it/en?utm_source=chatgpt.com" TargetMode="External"/><Relationship Id="rId1" Type="http://schemas.openxmlformats.org/officeDocument/2006/relationships/hyperlink" Target="https://www.cia.it/news/notizie/censimento-istat-meno-aziende-agricole-ma-piu-grandi-e-sempre-familiari/?utm_source=chatgpt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5" x14ac:dyDescent="0.25"/>
  <cols>
    <col min="1" max="1" width="25" customWidth="1"/>
    <col min="2" max="2" width="50" customWidth="1"/>
  </cols>
  <sheetData>
    <row r="1" spans="1:2" ht="21" x14ac:dyDescent="0.35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opLeftCell="A3" workbookViewId="0">
      <selection activeCell="D11" sqref="D11"/>
    </sheetView>
  </sheetViews>
  <sheetFormatPr defaultRowHeight="15" x14ac:dyDescent="0.25"/>
  <cols>
    <col min="1" max="1" width="25" customWidth="1"/>
    <col min="2" max="6" width="15" customWidth="1"/>
  </cols>
  <sheetData>
    <row r="1" spans="1:6" ht="21" x14ac:dyDescent="0.35">
      <c r="A1" s="1" t="s">
        <v>31</v>
      </c>
    </row>
    <row r="3" spans="1:6" ht="15.75" x14ac:dyDescent="0.25">
      <c r="A3" s="14" t="s">
        <v>32</v>
      </c>
    </row>
    <row r="4" spans="1:6" x14ac:dyDescent="0.25">
      <c r="A4" t="s">
        <v>33</v>
      </c>
      <c r="B4" t="s">
        <v>34</v>
      </c>
      <c r="C4" t="s">
        <v>35</v>
      </c>
    </row>
    <row r="5" spans="1:6" x14ac:dyDescent="0.25">
      <c r="A5" t="s">
        <v>36</v>
      </c>
      <c r="B5" t="s">
        <v>37</v>
      </c>
      <c r="C5" t="s">
        <v>38</v>
      </c>
    </row>
    <row r="6" spans="1:6" x14ac:dyDescent="0.25">
      <c r="A6" t="s">
        <v>39</v>
      </c>
      <c r="B6" t="s">
        <v>40</v>
      </c>
      <c r="C6" t="s">
        <v>41</v>
      </c>
    </row>
    <row r="7" spans="1:6" x14ac:dyDescent="0.25">
      <c r="A7" t="s">
        <v>42</v>
      </c>
      <c r="B7" t="s">
        <v>43</v>
      </c>
      <c r="C7" t="s">
        <v>44</v>
      </c>
    </row>
    <row r="9" spans="1:6" ht="15.75" x14ac:dyDescent="0.25">
      <c r="A9" s="14" t="s">
        <v>45</v>
      </c>
    </row>
    <row r="10" spans="1:6" x14ac:dyDescent="0.25">
      <c r="A10" t="s">
        <v>46</v>
      </c>
      <c r="B10" s="13">
        <v>2026</v>
      </c>
      <c r="C10" s="13">
        <v>2027</v>
      </c>
      <c r="D10" s="13">
        <v>2028</v>
      </c>
      <c r="E10" s="13">
        <v>2029</v>
      </c>
      <c r="F10" s="13">
        <v>2030</v>
      </c>
    </row>
    <row r="11" spans="1:6" x14ac:dyDescent="0.25">
      <c r="A11" t="s">
        <v>47</v>
      </c>
      <c r="B11" s="9">
        <f>'08_P&amp;L'!B5</f>
        <v>0</v>
      </c>
      <c r="C11" s="9">
        <f>'08_P&amp;L'!C5</f>
        <v>61354</v>
      </c>
      <c r="D11" s="9">
        <f>'08_P&amp;L'!D5</f>
        <v>839676.8</v>
      </c>
      <c r="E11" s="9">
        <f>'08_P&amp;L'!E5</f>
        <v>3052923.9000000004</v>
      </c>
      <c r="F11" s="9">
        <f>'08_P&amp;L'!F5</f>
        <v>7023199.5384</v>
      </c>
    </row>
    <row r="12" spans="1:6" x14ac:dyDescent="0.25">
      <c r="A12" t="s">
        <v>48</v>
      </c>
      <c r="B12" s="9">
        <f>'08_P&amp;L'!B7</f>
        <v>0</v>
      </c>
      <c r="C12" s="9">
        <f>'08_P&amp;L'!C7</f>
        <v>37115.423200000005</v>
      </c>
      <c r="D12" s="9">
        <f>'08_P&amp;L'!D7</f>
        <v>406111.42726400006</v>
      </c>
      <c r="E12" s="9">
        <f>'08_P&amp;L'!E7</f>
        <v>1715761.7612196002</v>
      </c>
      <c r="F12" s="9">
        <f>'08_P&amp;L'!F7</f>
        <v>4270691.4119138401</v>
      </c>
    </row>
    <row r="13" spans="1:6" x14ac:dyDescent="0.25">
      <c r="A13" t="s">
        <v>49</v>
      </c>
      <c r="B13" s="21">
        <f>'08_P&amp;L'!B8</f>
        <v>0</v>
      </c>
      <c r="C13" s="21">
        <f>'08_P&amp;L'!C8</f>
        <v>0.6049389314470125</v>
      </c>
      <c r="D13" s="21">
        <f>'08_P&amp;L'!D8</f>
        <v>0.48365207573199598</v>
      </c>
      <c r="E13" s="21">
        <f>'08_P&amp;L'!E8</f>
        <v>0.56200606940107478</v>
      </c>
      <c r="F13" s="21">
        <f>'08_P&amp;L'!F8</f>
        <v>0.608083450934782</v>
      </c>
    </row>
    <row r="14" spans="1:6" x14ac:dyDescent="0.25">
      <c r="A14" t="s">
        <v>50</v>
      </c>
      <c r="B14" s="9">
        <f>'08_P&amp;L'!B17</f>
        <v>-200000</v>
      </c>
      <c r="C14" s="9">
        <f>'08_P&amp;L'!C17</f>
        <v>-562884.57680000004</v>
      </c>
      <c r="D14" s="9">
        <f>'08_P&amp;L'!D17</f>
        <v>-393888.57273599994</v>
      </c>
      <c r="E14" s="9">
        <f>'08_P&amp;L'!E17</f>
        <v>755761.76121960022</v>
      </c>
      <c r="F14" s="9">
        <f>'08_P&amp;L'!F17</f>
        <v>3140691.4119138401</v>
      </c>
    </row>
    <row r="15" spans="1:6" x14ac:dyDescent="0.25">
      <c r="A15" t="s">
        <v>51</v>
      </c>
      <c r="B15" s="21">
        <f>'08_P&amp;L'!B18</f>
        <v>0</v>
      </c>
      <c r="C15" s="21">
        <f>'08_P&amp;L'!C18</f>
        <v>-9.1743745607458358</v>
      </c>
      <c r="D15" s="21">
        <f>'08_P&amp;L'!D18</f>
        <v>-0.46909545760464016</v>
      </c>
      <c r="E15" s="21">
        <f>'08_P&amp;L'!E18</f>
        <v>0.24755342287424856</v>
      </c>
      <c r="F15" s="21">
        <f>'08_P&amp;L'!F18</f>
        <v>0.44718812198654134</v>
      </c>
    </row>
    <row r="17" spans="1:6" x14ac:dyDescent="0.25">
      <c r="A17" t="s">
        <v>52</v>
      </c>
      <c r="B17" s="5">
        <f>'05_Revenue_Model'!B30</f>
        <v>10</v>
      </c>
      <c r="C17" s="5">
        <f>'05_Revenue_Model'!C30</f>
        <v>99.2</v>
      </c>
      <c r="D17" s="5">
        <f>'05_Revenue_Model'!D30</f>
        <v>529.28</v>
      </c>
      <c r="E17" s="5">
        <f>'05_Revenue_Model'!E30</f>
        <v>1196.3520000000001</v>
      </c>
      <c r="F17" s="5">
        <f>'05_Revenue_Model'!F30</f>
        <v>2002.7897600000001</v>
      </c>
    </row>
    <row r="18" spans="1:6" x14ac:dyDescent="0.25">
      <c r="A18" t="s">
        <v>53</v>
      </c>
      <c r="B18" s="5">
        <f>'06_COGS'!B8</f>
        <v>0</v>
      </c>
      <c r="C18" s="5">
        <f>'06_COGS'!C8</f>
        <v>3552</v>
      </c>
      <c r="D18" s="5">
        <f>'06_COGS'!D8</f>
        <v>22795.200000000004</v>
      </c>
      <c r="E18" s="5">
        <f>'06_COGS'!E8</f>
        <v>69354.240000000005</v>
      </c>
      <c r="F18" s="5">
        <f>'06_COGS'!F8</f>
        <v>151289.66399999999</v>
      </c>
    </row>
    <row r="20" spans="1:6" ht="15.75" x14ac:dyDescent="0.25">
      <c r="A20" s="14" t="s">
        <v>54</v>
      </c>
    </row>
    <row r="21" spans="1:6" x14ac:dyDescent="0.25">
      <c r="A21" t="s">
        <v>55</v>
      </c>
      <c r="B21" t="s">
        <v>56</v>
      </c>
      <c r="C21" t="s">
        <v>57</v>
      </c>
      <c r="D21" t="s">
        <v>58</v>
      </c>
    </row>
    <row r="22" spans="1:6" x14ac:dyDescent="0.25">
      <c r="A22" t="s">
        <v>59</v>
      </c>
      <c r="B22" s="9">
        <f>'11_Funding'!C4</f>
        <v>200000</v>
      </c>
      <c r="C22" s="9">
        <f>'11_Funding'!D4</f>
        <v>2000000</v>
      </c>
      <c r="D22" s="21">
        <f>B22/(B22+C22)</f>
        <v>9.0909090909090912E-2</v>
      </c>
    </row>
    <row r="23" spans="1:6" x14ac:dyDescent="0.25">
      <c r="A23" t="s">
        <v>60</v>
      </c>
      <c r="B23" s="9">
        <f>'11_Funding'!C5</f>
        <v>1500000</v>
      </c>
      <c r="C23" s="9">
        <f>'11_Funding'!D5</f>
        <v>7000000</v>
      </c>
      <c r="D23" s="21">
        <f>B23/(B23+C23)</f>
        <v>0.17647058823529413</v>
      </c>
    </row>
    <row r="24" spans="1:6" x14ac:dyDescent="0.25">
      <c r="A24" t="s">
        <v>298</v>
      </c>
      <c r="B24" s="9">
        <f>'11_Funding'!C6</f>
        <v>4000000</v>
      </c>
      <c r="C24" s="9">
        <f>'11_Funding'!D6</f>
        <v>14000000</v>
      </c>
      <c r="D24" s="21">
        <f>B24/(B24+C24)</f>
        <v>0.22222222222222221</v>
      </c>
    </row>
  </sheetData>
  <phoneticPr fontId="2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topLeftCell="A18" workbookViewId="0">
      <selection activeCell="D10" sqref="D10"/>
    </sheetView>
  </sheetViews>
  <sheetFormatPr defaultRowHeight="15" x14ac:dyDescent="0.25"/>
  <cols>
    <col min="1" max="1" width="39" customWidth="1"/>
    <col min="2" max="5" width="20" customWidth="1"/>
  </cols>
  <sheetData>
    <row r="1" spans="1:5" ht="18.75" x14ac:dyDescent="0.3">
      <c r="A1" s="3" t="s">
        <v>61</v>
      </c>
    </row>
    <row r="3" spans="1:5" x14ac:dyDescent="0.25">
      <c r="A3" s="2" t="s">
        <v>62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 x14ac:dyDescent="0.25">
      <c r="A4" t="s">
        <v>67</v>
      </c>
      <c r="B4" t="s">
        <v>68</v>
      </c>
      <c r="C4" t="s">
        <v>69</v>
      </c>
      <c r="D4" t="s">
        <v>70</v>
      </c>
    </row>
    <row r="6" spans="1:5" x14ac:dyDescent="0.25">
      <c r="A6" t="s">
        <v>252</v>
      </c>
      <c r="B6" s="4"/>
      <c r="C6" s="4">
        <v>1060000</v>
      </c>
    </row>
    <row r="7" spans="1:5" x14ac:dyDescent="0.25">
      <c r="A7" t="s">
        <v>290</v>
      </c>
      <c r="B7" s="41"/>
      <c r="C7" s="41">
        <v>1.7</v>
      </c>
      <c r="D7" s="42"/>
    </row>
    <row r="8" spans="1:5" x14ac:dyDescent="0.25">
      <c r="A8" t="s">
        <v>291</v>
      </c>
      <c r="B8" s="41">
        <f>C8*C12</f>
        <v>13</v>
      </c>
      <c r="C8" s="41">
        <v>2</v>
      </c>
      <c r="D8" s="42"/>
    </row>
    <row r="10" spans="1:5" x14ac:dyDescent="0.25">
      <c r="A10" t="s">
        <v>71</v>
      </c>
      <c r="B10" s="4">
        <v>43000000</v>
      </c>
      <c r="C10" s="5">
        <f>C6*1000/C7</f>
        <v>623529411.7647059</v>
      </c>
      <c r="D10" s="5">
        <f>((B10*B8)+(C10*C8))/1000</f>
        <v>1806058.8235294118</v>
      </c>
    </row>
    <row r="11" spans="1:5" x14ac:dyDescent="0.25">
      <c r="A11" t="s">
        <v>72</v>
      </c>
      <c r="B11" t="s">
        <v>73</v>
      </c>
      <c r="C11" t="s">
        <v>74</v>
      </c>
      <c r="D11" t="s">
        <v>75</v>
      </c>
    </row>
    <row r="12" spans="1:5" x14ac:dyDescent="0.25">
      <c r="A12" t="s">
        <v>76</v>
      </c>
      <c r="B12" s="6">
        <v>1</v>
      </c>
      <c r="C12" s="6">
        <v>6.5</v>
      </c>
    </row>
    <row r="13" spans="1:5" x14ac:dyDescent="0.25">
      <c r="A13" t="s">
        <v>77</v>
      </c>
      <c r="B13" s="5">
        <f>B10/B12</f>
        <v>43000000</v>
      </c>
      <c r="C13" s="5">
        <f>C10/C12</f>
        <v>95927601.809954748</v>
      </c>
    </row>
    <row r="15" spans="1:5" x14ac:dyDescent="0.25">
      <c r="A15" t="s">
        <v>78</v>
      </c>
      <c r="B15" s="6">
        <v>40</v>
      </c>
      <c r="C15" s="6">
        <v>40</v>
      </c>
      <c r="D15" s="43"/>
    </row>
    <row r="16" spans="1:5" x14ac:dyDescent="0.25">
      <c r="A16" t="s">
        <v>79</v>
      </c>
      <c r="B16" s="5">
        <f>B13*B15</f>
        <v>1720000000</v>
      </c>
      <c r="C16" s="5">
        <f>C15*C13</f>
        <v>3837104072.39819</v>
      </c>
    </row>
    <row r="18" spans="1:5" x14ac:dyDescent="0.25">
      <c r="A18" t="s">
        <v>80</v>
      </c>
      <c r="B18" s="7">
        <v>0.01</v>
      </c>
      <c r="C18" s="7">
        <v>0.01</v>
      </c>
      <c r="D18" s="44">
        <v>0.01</v>
      </c>
    </row>
    <row r="19" spans="1:5" x14ac:dyDescent="0.25">
      <c r="A19" t="s">
        <v>81</v>
      </c>
      <c r="B19" s="5">
        <f>B18*B16</f>
        <v>17200000</v>
      </c>
      <c r="C19" s="5">
        <f>C18*C16</f>
        <v>38371040.723981902</v>
      </c>
      <c r="D19" s="5">
        <f>D18*D10*1000</f>
        <v>18060588.235294119</v>
      </c>
    </row>
    <row r="21" spans="1:5" x14ac:dyDescent="0.25">
      <c r="A21" t="s">
        <v>287</v>
      </c>
      <c r="B21" s="8">
        <v>8</v>
      </c>
      <c r="C21" s="8">
        <v>8</v>
      </c>
      <c r="D21" s="8">
        <v>5</v>
      </c>
    </row>
    <row r="22" spans="1:5" x14ac:dyDescent="0.25">
      <c r="A22" t="s">
        <v>288</v>
      </c>
      <c r="B22" s="8">
        <v>9</v>
      </c>
      <c r="C22" s="8">
        <v>9</v>
      </c>
      <c r="D22" s="8">
        <v>7</v>
      </c>
    </row>
    <row r="23" spans="1:5" x14ac:dyDescent="0.25">
      <c r="A23" t="s">
        <v>289</v>
      </c>
      <c r="B23" s="8">
        <v>10</v>
      </c>
      <c r="C23" s="8">
        <v>10</v>
      </c>
      <c r="D23" s="8">
        <v>9</v>
      </c>
    </row>
    <row r="25" spans="1:5" x14ac:dyDescent="0.25">
      <c r="A25" t="s">
        <v>82</v>
      </c>
      <c r="B25" s="9">
        <f>B19*B21</f>
        <v>137600000</v>
      </c>
      <c r="C25" s="9">
        <f>C19*C21</f>
        <v>306968325.79185522</v>
      </c>
      <c r="D25" s="9">
        <f>D19*D21</f>
        <v>90302941.176470593</v>
      </c>
      <c r="E25" s="10">
        <f>SUM(B25:D25)</f>
        <v>534871266.96832579</v>
      </c>
    </row>
    <row r="26" spans="1:5" x14ac:dyDescent="0.25">
      <c r="A26" t="s">
        <v>83</v>
      </c>
      <c r="B26" s="9">
        <f>B19*B22</f>
        <v>154800000</v>
      </c>
      <c r="C26" s="9">
        <f>C19*C22</f>
        <v>345339366.51583713</v>
      </c>
      <c r="D26" s="9">
        <f>D19*D22</f>
        <v>126424117.64705883</v>
      </c>
      <c r="E26" s="10">
        <f>SUM(B26:D26)</f>
        <v>626563484.16289592</v>
      </c>
    </row>
    <row r="27" spans="1:5" x14ac:dyDescent="0.25">
      <c r="A27" t="s">
        <v>84</v>
      </c>
      <c r="B27" s="9">
        <f>B19*B23</f>
        <v>172000000</v>
      </c>
      <c r="C27" s="9">
        <f>C19*C23</f>
        <v>383710407.23981905</v>
      </c>
      <c r="D27" s="9">
        <f>D19*D23</f>
        <v>162545294.11764705</v>
      </c>
      <c r="E27" s="10">
        <f>SUM(B27:D27)</f>
        <v>718255701.3574661</v>
      </c>
    </row>
    <row r="29" spans="1:5" x14ac:dyDescent="0.25">
      <c r="A29" t="s">
        <v>85</v>
      </c>
      <c r="B29" s="11">
        <v>0.1</v>
      </c>
      <c r="C29" s="11">
        <v>0.2</v>
      </c>
      <c r="D29" s="11">
        <v>0.2</v>
      </c>
    </row>
    <row r="30" spans="1:5" x14ac:dyDescent="0.25">
      <c r="A30" t="s">
        <v>86</v>
      </c>
      <c r="B30" s="9">
        <f>B25*B29</f>
        <v>13760000</v>
      </c>
      <c r="C30" s="9">
        <f>C25*C29</f>
        <v>61393665.158371046</v>
      </c>
      <c r="D30" s="9">
        <f>D25*D29</f>
        <v>18060588.235294119</v>
      </c>
      <c r="E30" s="10">
        <f>SUM(B30:D30)</f>
        <v>93214253.393665165</v>
      </c>
    </row>
    <row r="31" spans="1:5" x14ac:dyDescent="0.25">
      <c r="A31" t="s">
        <v>87</v>
      </c>
      <c r="B31" s="9">
        <f>B26*B29</f>
        <v>15480000</v>
      </c>
      <c r="C31" s="9">
        <f>C26*C29</f>
        <v>69067873.303167433</v>
      </c>
      <c r="D31" s="9">
        <f>D26*D29</f>
        <v>25284823.529411767</v>
      </c>
      <c r="E31" s="10">
        <f>SUM(B31:D31)</f>
        <v>109832696.8325792</v>
      </c>
    </row>
    <row r="32" spans="1:5" x14ac:dyDescent="0.25">
      <c r="A32" t="s">
        <v>88</v>
      </c>
      <c r="B32" s="9">
        <f>B27*B29</f>
        <v>17200000</v>
      </c>
      <c r="C32" s="9">
        <f>C27*C29</f>
        <v>76742081.447963819</v>
      </c>
      <c r="D32" s="9">
        <f>D27*D29</f>
        <v>32509058.823529411</v>
      </c>
      <c r="E32" s="10">
        <f>SUM(B32:D32)</f>
        <v>126451140.27149323</v>
      </c>
    </row>
    <row r="34" spans="1:5" x14ac:dyDescent="0.25">
      <c r="A34" t="s">
        <v>89</v>
      </c>
      <c r="B34" s="11">
        <v>0.05</v>
      </c>
      <c r="C34" s="11">
        <v>0.05</v>
      </c>
      <c r="D34" s="11">
        <v>0.05</v>
      </c>
    </row>
    <row r="35" spans="1:5" x14ac:dyDescent="0.25">
      <c r="A35" t="s">
        <v>90</v>
      </c>
      <c r="B35" s="9">
        <f>B30*B34</f>
        <v>688000</v>
      </c>
      <c r="C35" s="9">
        <f>C30*C34</f>
        <v>3069683.2579185525</v>
      </c>
      <c r="D35" s="9">
        <f>D30*D34</f>
        <v>903029.41176470602</v>
      </c>
      <c r="E35" s="10">
        <f>SUM(B35:D35)</f>
        <v>4660712.669683259</v>
      </c>
    </row>
    <row r="36" spans="1:5" x14ac:dyDescent="0.25">
      <c r="A36" t="s">
        <v>91</v>
      </c>
      <c r="B36" s="9">
        <f>B31*B34</f>
        <v>774000</v>
      </c>
      <c r="C36" s="9">
        <f>C31*C34</f>
        <v>3453393.6651583719</v>
      </c>
      <c r="D36" s="9">
        <f>D31*D34</f>
        <v>1264241.1764705884</v>
      </c>
      <c r="E36" s="10">
        <f>SUM(B36:D36)</f>
        <v>5491634.8416289613</v>
      </c>
    </row>
    <row r="37" spans="1:5" x14ac:dyDescent="0.25">
      <c r="A37" t="s">
        <v>92</v>
      </c>
      <c r="B37" s="9">
        <f>B32*B34</f>
        <v>860000</v>
      </c>
      <c r="C37" s="9">
        <f>C32*C34</f>
        <v>3837104.0723981913</v>
      </c>
      <c r="D37" s="9">
        <f>D32*D34</f>
        <v>1625452.9411764706</v>
      </c>
      <c r="E37" s="10">
        <f>SUM(B37:D37)</f>
        <v>6322557.0135746617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ACD5-A63E-4A52-AB38-198151922706}">
  <dimension ref="B2:M21"/>
  <sheetViews>
    <sheetView workbookViewId="0">
      <selection activeCell="I18" sqref="I18"/>
    </sheetView>
  </sheetViews>
  <sheetFormatPr defaultRowHeight="15" x14ac:dyDescent="0.25"/>
  <cols>
    <col min="1" max="1" width="3.42578125" customWidth="1"/>
    <col min="2" max="2" width="54.140625" bestFit="1" customWidth="1"/>
    <col min="3" max="6" width="17.140625" customWidth="1"/>
    <col min="7" max="7" width="17.140625" style="32" customWidth="1"/>
    <col min="8" max="8" width="5" customWidth="1"/>
    <col min="9" max="9" width="17.140625" bestFit="1" customWidth="1"/>
    <col min="10" max="10" width="15.5703125" bestFit="1" customWidth="1"/>
    <col min="11" max="11" width="18.7109375" bestFit="1" customWidth="1"/>
  </cols>
  <sheetData>
    <row r="2" spans="2:13" x14ac:dyDescent="0.25">
      <c r="B2" s="52" t="s">
        <v>253</v>
      </c>
      <c r="C2" s="52" t="s">
        <v>254</v>
      </c>
      <c r="D2" s="52" t="s">
        <v>255</v>
      </c>
      <c r="E2" s="52" t="s">
        <v>256</v>
      </c>
      <c r="F2" s="52" t="s">
        <v>257</v>
      </c>
      <c r="G2" s="52" t="s">
        <v>66</v>
      </c>
      <c r="I2" t="s">
        <v>292</v>
      </c>
    </row>
    <row r="3" spans="2:13" x14ac:dyDescent="0.25">
      <c r="B3" s="27" t="s">
        <v>261</v>
      </c>
      <c r="C3" s="45">
        <v>8000</v>
      </c>
      <c r="D3" s="45">
        <v>2500</v>
      </c>
      <c r="E3" s="29" t="s">
        <v>262</v>
      </c>
      <c r="F3" s="29" t="s">
        <v>262</v>
      </c>
      <c r="G3" s="53" t="s">
        <v>262</v>
      </c>
      <c r="H3" s="30" t="s">
        <v>263</v>
      </c>
      <c r="I3" s="28" t="s">
        <v>258</v>
      </c>
      <c r="J3" s="28" t="s">
        <v>259</v>
      </c>
      <c r="K3" s="28" t="s">
        <v>260</v>
      </c>
      <c r="L3" s="32"/>
      <c r="M3" s="32"/>
    </row>
    <row r="4" spans="2:13" x14ac:dyDescent="0.25">
      <c r="B4" s="27" t="s">
        <v>266</v>
      </c>
      <c r="C4" s="45">
        <v>50</v>
      </c>
      <c r="D4" s="45">
        <v>50</v>
      </c>
      <c r="E4" s="45">
        <v>50000</v>
      </c>
      <c r="F4" s="45">
        <v>300000</v>
      </c>
      <c r="G4" s="53" t="s">
        <v>262</v>
      </c>
      <c r="H4" s="30" t="s">
        <v>263</v>
      </c>
      <c r="I4" s="31" t="s">
        <v>264</v>
      </c>
      <c r="J4" s="31" t="s">
        <v>265</v>
      </c>
      <c r="K4" s="31">
        <v>1</v>
      </c>
    </row>
    <row r="5" spans="2:13" x14ac:dyDescent="0.25">
      <c r="B5" s="27" t="s">
        <v>250</v>
      </c>
      <c r="C5" s="46">
        <v>0.01</v>
      </c>
      <c r="D5" s="46">
        <v>0.01</v>
      </c>
      <c r="E5" s="46">
        <v>0.02</v>
      </c>
      <c r="F5" s="46">
        <v>0.01</v>
      </c>
      <c r="G5" s="53" t="s">
        <v>262</v>
      </c>
      <c r="H5" s="30" t="s">
        <v>263</v>
      </c>
      <c r="I5" s="31" t="s">
        <v>267</v>
      </c>
      <c r="J5" s="31" t="s">
        <v>268</v>
      </c>
      <c r="K5" s="31">
        <v>6</v>
      </c>
    </row>
    <row r="6" spans="2:13" x14ac:dyDescent="0.25">
      <c r="B6" s="27" t="s">
        <v>251</v>
      </c>
      <c r="C6" s="48">
        <f>C3*C4*C5</f>
        <v>4000</v>
      </c>
      <c r="D6" s="48">
        <f>D3*D4*D5</f>
        <v>1250</v>
      </c>
      <c r="E6" s="48">
        <f>E4*E5</f>
        <v>1000</v>
      </c>
      <c r="F6" s="48">
        <f>F4*F5</f>
        <v>3000</v>
      </c>
      <c r="G6" s="53" t="s">
        <v>262</v>
      </c>
      <c r="H6" s="30" t="s">
        <v>263</v>
      </c>
      <c r="I6" s="31" t="s">
        <v>269</v>
      </c>
      <c r="J6" s="31" t="s">
        <v>270</v>
      </c>
      <c r="K6" s="31">
        <v>60</v>
      </c>
      <c r="L6" s="33"/>
      <c r="M6" s="33"/>
    </row>
    <row r="7" spans="2:13" ht="15.75" thickBot="1" x14ac:dyDescent="0.3">
      <c r="B7" s="34" t="s">
        <v>273</v>
      </c>
      <c r="C7" s="47">
        <v>10</v>
      </c>
      <c r="D7" s="47">
        <v>10</v>
      </c>
      <c r="E7" s="47">
        <v>12</v>
      </c>
      <c r="F7" s="47">
        <v>15</v>
      </c>
      <c r="G7" s="54" t="s">
        <v>262</v>
      </c>
      <c r="H7" s="30" t="s">
        <v>263</v>
      </c>
      <c r="I7" s="31" t="s">
        <v>271</v>
      </c>
      <c r="J7" s="31" t="s">
        <v>272</v>
      </c>
      <c r="K7" s="31">
        <v>0.5</v>
      </c>
      <c r="L7" s="35"/>
      <c r="M7" s="35"/>
    </row>
    <row r="8" spans="2:13" ht="15.75" thickTop="1" x14ac:dyDescent="0.25">
      <c r="B8" s="36" t="s">
        <v>274</v>
      </c>
      <c r="C8" s="49">
        <f>C7*C6</f>
        <v>40000</v>
      </c>
      <c r="D8" s="49">
        <f>D7*D6</f>
        <v>12500</v>
      </c>
      <c r="E8" s="49">
        <f>E7*E6</f>
        <v>12000</v>
      </c>
      <c r="F8" s="49">
        <f>F7*F6</f>
        <v>45000</v>
      </c>
      <c r="G8" s="37" t="s">
        <v>262</v>
      </c>
      <c r="H8" s="30" t="s">
        <v>263</v>
      </c>
      <c r="K8" s="33"/>
      <c r="L8" s="33"/>
      <c r="M8" s="33"/>
    </row>
    <row r="9" spans="2:13" x14ac:dyDescent="0.25">
      <c r="K9" s="33"/>
      <c r="L9" s="33"/>
      <c r="M9" s="33"/>
    </row>
    <row r="10" spans="2:13" x14ac:dyDescent="0.25">
      <c r="B10" s="27" t="s">
        <v>275</v>
      </c>
      <c r="C10" s="59" t="s">
        <v>276</v>
      </c>
      <c r="D10" s="60"/>
      <c r="E10" s="38" t="s">
        <v>277</v>
      </c>
      <c r="F10" s="38" t="s">
        <v>278</v>
      </c>
      <c r="G10" s="39"/>
      <c r="H10" s="30" t="s">
        <v>263</v>
      </c>
    </row>
    <row r="11" spans="2:13" ht="15.75" thickBot="1" x14ac:dyDescent="0.3">
      <c r="B11" s="34" t="s">
        <v>279</v>
      </c>
      <c r="C11" s="61">
        <v>213984</v>
      </c>
      <c r="D11" s="62"/>
      <c r="E11" s="47">
        <v>820</v>
      </c>
      <c r="F11" s="47">
        <v>500</v>
      </c>
      <c r="G11" s="51">
        <f>SUM(C11:F11)</f>
        <v>215304</v>
      </c>
      <c r="H11" s="30" t="s">
        <v>263</v>
      </c>
    </row>
    <row r="12" spans="2:13" ht="15.75" thickTop="1" x14ac:dyDescent="0.25">
      <c r="B12" s="36" t="s">
        <v>280</v>
      </c>
      <c r="C12" s="63">
        <f>C$8*C11</f>
        <v>8559360000</v>
      </c>
      <c r="D12" s="64"/>
      <c r="E12" s="50">
        <f>E$8*E11</f>
        <v>9840000</v>
      </c>
      <c r="F12" s="50">
        <f>F$8*F11</f>
        <v>22500000</v>
      </c>
      <c r="G12" s="49">
        <f>SUM(C12:F12)</f>
        <v>8591700000</v>
      </c>
      <c r="H12" s="30" t="s">
        <v>263</v>
      </c>
    </row>
    <row r="14" spans="2:13" x14ac:dyDescent="0.25">
      <c r="B14" s="27" t="s">
        <v>281</v>
      </c>
      <c r="C14" s="46">
        <v>0.2</v>
      </c>
      <c r="D14" s="46">
        <v>0.3</v>
      </c>
      <c r="E14" s="46">
        <v>1</v>
      </c>
      <c r="F14" s="46">
        <v>0.8</v>
      </c>
      <c r="G14" s="53" t="s">
        <v>262</v>
      </c>
      <c r="H14" s="30" t="s">
        <v>263</v>
      </c>
    </row>
    <row r="15" spans="2:13" ht="15.75" thickBot="1" x14ac:dyDescent="0.3">
      <c r="B15" s="34" t="s">
        <v>282</v>
      </c>
      <c r="C15" s="51">
        <f>C11*C14</f>
        <v>42796.800000000003</v>
      </c>
      <c r="D15" s="51">
        <f>C11*D14</f>
        <v>64195.199999999997</v>
      </c>
      <c r="E15" s="51">
        <f>E11*E14</f>
        <v>820</v>
      </c>
      <c r="F15" s="51">
        <f>F11*F14</f>
        <v>400</v>
      </c>
      <c r="G15" s="51">
        <f>SUM(C15:F15)</f>
        <v>108212</v>
      </c>
      <c r="H15" s="30" t="s">
        <v>263</v>
      </c>
    </row>
    <row r="16" spans="2:13" ht="15.75" thickTop="1" x14ac:dyDescent="0.25">
      <c r="B16" s="36" t="s">
        <v>283</v>
      </c>
      <c r="C16" s="50">
        <f>C$8*C15</f>
        <v>1711872000</v>
      </c>
      <c r="D16" s="50">
        <f>D$8*D15</f>
        <v>802440000</v>
      </c>
      <c r="E16" s="50">
        <f>E$8*E15</f>
        <v>9840000</v>
      </c>
      <c r="F16" s="50">
        <f>F$8*F15</f>
        <v>18000000</v>
      </c>
      <c r="G16" s="49">
        <f>SUM(C16:F16)</f>
        <v>2542152000</v>
      </c>
      <c r="H16" s="30" t="s">
        <v>263</v>
      </c>
    </row>
    <row r="18" spans="2:8" x14ac:dyDescent="0.25">
      <c r="B18" s="27" t="s">
        <v>284</v>
      </c>
      <c r="C18" s="46">
        <v>0.05</v>
      </c>
      <c r="D18" s="46">
        <v>0.05</v>
      </c>
      <c r="E18" s="46">
        <v>0.05</v>
      </c>
      <c r="F18" s="46">
        <v>0.05</v>
      </c>
      <c r="G18" s="53" t="s">
        <v>262</v>
      </c>
      <c r="H18" s="30" t="s">
        <v>263</v>
      </c>
    </row>
    <row r="19" spans="2:8" ht="15.75" thickBot="1" x14ac:dyDescent="0.3">
      <c r="B19" s="34" t="s">
        <v>285</v>
      </c>
      <c r="C19" s="51">
        <f>C18*C15</f>
        <v>2139.84</v>
      </c>
      <c r="D19" s="51">
        <f>D18*D15</f>
        <v>3209.76</v>
      </c>
      <c r="E19" s="51">
        <f>E18*E15</f>
        <v>41</v>
      </c>
      <c r="F19" s="51">
        <f>F18*F15</f>
        <v>20</v>
      </c>
      <c r="G19" s="51">
        <f>SUM(C19:F19)</f>
        <v>5410.6</v>
      </c>
      <c r="H19" s="30" t="s">
        <v>263</v>
      </c>
    </row>
    <row r="20" spans="2:8" ht="15.75" thickTop="1" x14ac:dyDescent="0.25">
      <c r="B20" s="36" t="s">
        <v>286</v>
      </c>
      <c r="C20" s="50">
        <f>C$8*C19</f>
        <v>85593600</v>
      </c>
      <c r="D20" s="50">
        <f>D$8*D19</f>
        <v>40122000</v>
      </c>
      <c r="E20" s="50">
        <f>E$8*E19</f>
        <v>492000</v>
      </c>
      <c r="F20" s="50">
        <f>F$8*F19</f>
        <v>900000</v>
      </c>
      <c r="G20" s="49">
        <f>SUM(C20:F20)</f>
        <v>127107600</v>
      </c>
      <c r="H20" s="30" t="s">
        <v>263</v>
      </c>
    </row>
    <row r="21" spans="2:8" x14ac:dyDescent="0.25">
      <c r="C21" s="40"/>
    </row>
  </sheetData>
  <mergeCells count="3">
    <mergeCell ref="C10:D10"/>
    <mergeCell ref="C11:D11"/>
    <mergeCell ref="C12:D12"/>
  </mergeCells>
  <hyperlinks>
    <hyperlink ref="C10" r:id="rId1" xr:uid="{62C4E3F7-8265-4637-BC7E-3325706FB239}"/>
    <hyperlink ref="E10" r:id="rId2" xr:uid="{FF54E6D9-C044-48E0-A5CE-C31EAD005BF9}"/>
    <hyperlink ref="F10" r:id="rId3" xr:uid="{068CEF80-30EE-4721-AF28-F986BD8C7EF9}"/>
  </hyperlinks>
  <pageMargins left="0.7" right="0.7" top="0.75" bottom="0.75" header="0.3" footer="0.3"/>
  <pageSetup paperSize="9" orientation="portrait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topLeftCell="A3" workbookViewId="0">
      <selection activeCell="A11" sqref="A11"/>
    </sheetView>
  </sheetViews>
  <sheetFormatPr defaultRowHeight="15" x14ac:dyDescent="0.25"/>
  <cols>
    <col min="1" max="1" width="80" customWidth="1"/>
  </cols>
  <sheetData>
    <row r="1" spans="1:1" ht="18.75" x14ac:dyDescent="0.3">
      <c r="A1" s="3" t="s">
        <v>93</v>
      </c>
    </row>
    <row r="3" spans="1:1" ht="15.75" x14ac:dyDescent="0.25">
      <c r="A3" s="14" t="s">
        <v>94</v>
      </c>
    </row>
    <row r="4" spans="1:1" x14ac:dyDescent="0.25">
      <c r="A4" t="s">
        <v>95</v>
      </c>
    </row>
    <row r="5" spans="1:1" x14ac:dyDescent="0.25">
      <c r="A5" t="s">
        <v>96</v>
      </c>
    </row>
    <row r="9" spans="1:1" ht="15.75" x14ac:dyDescent="0.25">
      <c r="A9" s="14" t="s">
        <v>97</v>
      </c>
    </row>
    <row r="10" spans="1:1" x14ac:dyDescent="0.25">
      <c r="A10" t="s">
        <v>98</v>
      </c>
    </row>
    <row r="11" spans="1:1" x14ac:dyDescent="0.25">
      <c r="A11" t="s">
        <v>99</v>
      </c>
    </row>
    <row r="12" spans="1:1" x14ac:dyDescent="0.25">
      <c r="A12" t="s">
        <v>100</v>
      </c>
    </row>
    <row r="13" spans="1:1" x14ac:dyDescent="0.25">
      <c r="A13" t="s">
        <v>101</v>
      </c>
    </row>
    <row r="14" spans="1:1" x14ac:dyDescent="0.25">
      <c r="A14" t="s">
        <v>102</v>
      </c>
    </row>
    <row r="16" spans="1:1" ht="15.75" x14ac:dyDescent="0.25">
      <c r="A16" s="14" t="s">
        <v>103</v>
      </c>
    </row>
    <row r="17" spans="1:1" x14ac:dyDescent="0.25">
      <c r="A17" t="s">
        <v>104</v>
      </c>
    </row>
    <row r="18" spans="1:1" x14ac:dyDescent="0.25">
      <c r="A18" t="s">
        <v>105</v>
      </c>
    </row>
    <row r="19" spans="1:1" x14ac:dyDescent="0.25">
      <c r="A19" t="s">
        <v>106</v>
      </c>
    </row>
    <row r="20" spans="1:1" x14ac:dyDescent="0.25">
      <c r="A20" t="s">
        <v>107</v>
      </c>
    </row>
    <row r="21" spans="1:1" x14ac:dyDescent="0.25">
      <c r="A21" t="s">
        <v>108</v>
      </c>
    </row>
    <row r="22" spans="1:1" x14ac:dyDescent="0.25">
      <c r="A22" t="s">
        <v>109</v>
      </c>
    </row>
    <row r="24" spans="1:1" ht="15.75" x14ac:dyDescent="0.25">
      <c r="A24" s="14" t="s">
        <v>110</v>
      </c>
    </row>
    <row r="25" spans="1:1" x14ac:dyDescent="0.25">
      <c r="A25" t="s">
        <v>111</v>
      </c>
    </row>
    <row r="26" spans="1:1" x14ac:dyDescent="0.25">
      <c r="A26" t="s">
        <v>112</v>
      </c>
    </row>
    <row r="27" spans="1:1" x14ac:dyDescent="0.25">
      <c r="A27" t="s">
        <v>113</v>
      </c>
    </row>
    <row r="28" spans="1:1" x14ac:dyDescent="0.25">
      <c r="A28" t="s">
        <v>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"/>
  <sheetViews>
    <sheetView topLeftCell="A3" workbookViewId="0">
      <selection activeCell="F14" sqref="F14"/>
    </sheetView>
  </sheetViews>
  <sheetFormatPr defaultRowHeight="15" x14ac:dyDescent="0.25"/>
  <cols>
    <col min="1" max="1" width="35" customWidth="1"/>
    <col min="2" max="6" width="15" customWidth="1"/>
  </cols>
  <sheetData>
    <row r="1" spans="1:6" ht="18.75" x14ac:dyDescent="0.3">
      <c r="A1" s="3" t="s">
        <v>115</v>
      </c>
    </row>
    <row r="2" spans="1:6" x14ac:dyDescent="0.25">
      <c r="A2" s="12" t="s">
        <v>116</v>
      </c>
    </row>
    <row r="4" spans="1:6" x14ac:dyDescent="0.25">
      <c r="A4" t="s">
        <v>117</v>
      </c>
      <c r="B4" s="13">
        <v>2026</v>
      </c>
      <c r="C4" s="13">
        <v>2027</v>
      </c>
      <c r="D4" s="13">
        <v>2028</v>
      </c>
      <c r="E4" s="13">
        <v>2029</v>
      </c>
      <c r="F4" s="13">
        <v>2030</v>
      </c>
    </row>
    <row r="6" spans="1:6" ht="15.75" x14ac:dyDescent="0.25">
      <c r="A6" s="14" t="s">
        <v>118</v>
      </c>
    </row>
    <row r="7" spans="1:6" x14ac:dyDescent="0.25">
      <c r="A7" t="s">
        <v>119</v>
      </c>
      <c r="B7" s="8">
        <v>0</v>
      </c>
      <c r="C7" s="8">
        <v>600</v>
      </c>
      <c r="D7" s="8">
        <v>800</v>
      </c>
      <c r="E7" s="8">
        <v>900</v>
      </c>
      <c r="F7" s="8">
        <v>1000</v>
      </c>
    </row>
    <row r="8" spans="1:6" x14ac:dyDescent="0.25">
      <c r="A8" t="s">
        <v>120</v>
      </c>
      <c r="B8" s="8">
        <v>0</v>
      </c>
      <c r="C8" s="8">
        <v>150</v>
      </c>
      <c r="D8" s="8">
        <v>200</v>
      </c>
      <c r="E8" s="8">
        <v>250</v>
      </c>
      <c r="F8" s="8">
        <v>300</v>
      </c>
    </row>
    <row r="9" spans="1:6" x14ac:dyDescent="0.25">
      <c r="A9" t="s">
        <v>121</v>
      </c>
      <c r="B9" s="8">
        <v>0</v>
      </c>
      <c r="C9" s="8">
        <v>2000</v>
      </c>
      <c r="D9" s="8">
        <v>3000</v>
      </c>
      <c r="E9" s="8">
        <v>4000</v>
      </c>
      <c r="F9" s="8">
        <v>5000</v>
      </c>
    </row>
    <row r="11" spans="1:6" ht="15.75" x14ac:dyDescent="0.25">
      <c r="A11" s="14" t="s">
        <v>122</v>
      </c>
    </row>
    <row r="12" spans="1:6" x14ac:dyDescent="0.25">
      <c r="A12" t="s">
        <v>123</v>
      </c>
      <c r="B12" s="4">
        <v>5</v>
      </c>
      <c r="C12" s="4">
        <v>50</v>
      </c>
      <c r="D12" s="4">
        <v>250</v>
      </c>
      <c r="E12" s="4">
        <v>400</v>
      </c>
      <c r="F12" s="4">
        <v>500</v>
      </c>
    </row>
    <row r="13" spans="1:6" x14ac:dyDescent="0.25">
      <c r="A13" t="s">
        <v>124</v>
      </c>
      <c r="B13" s="4">
        <v>3</v>
      </c>
      <c r="C13" s="4">
        <v>30</v>
      </c>
      <c r="D13" s="4">
        <v>150</v>
      </c>
      <c r="E13" s="4">
        <v>250</v>
      </c>
      <c r="F13" s="4">
        <v>350</v>
      </c>
    </row>
    <row r="14" spans="1:6" x14ac:dyDescent="0.25">
      <c r="A14" t="s">
        <v>125</v>
      </c>
      <c r="B14" s="4">
        <v>2</v>
      </c>
      <c r="C14" s="4">
        <v>10</v>
      </c>
      <c r="D14" s="4">
        <v>40</v>
      </c>
      <c r="E14" s="4">
        <v>70</v>
      </c>
      <c r="F14" s="4">
        <v>100</v>
      </c>
    </row>
    <row r="15" spans="1:6" x14ac:dyDescent="0.25">
      <c r="A15" t="s">
        <v>126</v>
      </c>
      <c r="B15" s="11">
        <v>0</v>
      </c>
      <c r="C15" s="11">
        <v>0.08</v>
      </c>
      <c r="D15" s="11">
        <v>0.1</v>
      </c>
      <c r="E15" s="11">
        <v>0.1</v>
      </c>
      <c r="F15" s="11">
        <v>0.12</v>
      </c>
    </row>
    <row r="17" spans="1:6" ht="15.75" x14ac:dyDescent="0.25">
      <c r="A17" s="14" t="s">
        <v>127</v>
      </c>
    </row>
    <row r="18" spans="1:6" x14ac:dyDescent="0.25">
      <c r="A18" t="s">
        <v>128</v>
      </c>
      <c r="B18" s="93">
        <f>'14_Unit_Costs_BOM'!$D$37</f>
        <v>3.4939999999999998</v>
      </c>
      <c r="C18" s="93">
        <f>'14_Unit_Costs_BOM'!$D$37</f>
        <v>3.4939999999999998</v>
      </c>
      <c r="D18" s="93">
        <f>'14_Unit_Costs_BOM'!$D$37*0.95</f>
        <v>3.3192999999999997</v>
      </c>
      <c r="E18" s="93">
        <f>'14_Unit_Costs_BOM'!$D$37*0.9</f>
        <v>3.1446000000000001</v>
      </c>
      <c r="F18" s="93">
        <f>'14_Unit_Costs_BOM'!$D$37*0.85</f>
        <v>2.9698999999999995</v>
      </c>
    </row>
    <row r="19" spans="1:6" x14ac:dyDescent="0.25">
      <c r="A19" t="s">
        <v>129</v>
      </c>
      <c r="B19" s="4">
        <v>0</v>
      </c>
      <c r="C19" s="4">
        <v>50</v>
      </c>
      <c r="D19" s="4">
        <v>70</v>
      </c>
      <c r="E19" s="4">
        <v>85</v>
      </c>
      <c r="F19" s="4">
        <v>100</v>
      </c>
    </row>
    <row r="20" spans="1:6" x14ac:dyDescent="0.25">
      <c r="A20" t="s">
        <v>130</v>
      </c>
      <c r="B20" s="4">
        <v>0</v>
      </c>
      <c r="C20" s="4">
        <v>20</v>
      </c>
      <c r="D20" s="4">
        <v>30</v>
      </c>
      <c r="E20" s="4">
        <v>40</v>
      </c>
      <c r="F20" s="4">
        <v>50</v>
      </c>
    </row>
    <row r="21" spans="1:6" x14ac:dyDescent="0.25">
      <c r="A21" t="s">
        <v>131</v>
      </c>
      <c r="B21" s="4">
        <v>0</v>
      </c>
      <c r="C21" s="4">
        <v>300</v>
      </c>
      <c r="D21" s="4">
        <v>450</v>
      </c>
      <c r="E21" s="4">
        <v>600</v>
      </c>
      <c r="F21" s="4">
        <v>750</v>
      </c>
    </row>
    <row r="23" spans="1:6" ht="15.75" x14ac:dyDescent="0.25">
      <c r="A23" s="14" t="s">
        <v>132</v>
      </c>
    </row>
    <row r="24" spans="1:6" x14ac:dyDescent="0.25">
      <c r="A24" t="s">
        <v>133</v>
      </c>
      <c r="B24" s="8">
        <v>100000</v>
      </c>
      <c r="C24" s="8">
        <v>300000</v>
      </c>
      <c r="D24" s="8">
        <v>400000</v>
      </c>
      <c r="E24" s="8">
        <v>500000</v>
      </c>
      <c r="F24" s="8">
        <v>600000</v>
      </c>
    </row>
    <row r="25" spans="1:6" x14ac:dyDescent="0.25">
      <c r="A25" t="s">
        <v>134</v>
      </c>
      <c r="B25" s="8">
        <v>50000</v>
      </c>
      <c r="C25" s="8">
        <v>100000</v>
      </c>
      <c r="D25" s="8">
        <v>80000</v>
      </c>
      <c r="E25" s="8">
        <v>60000</v>
      </c>
      <c r="F25" s="8">
        <v>50000</v>
      </c>
    </row>
    <row r="26" spans="1:6" x14ac:dyDescent="0.25">
      <c r="A26" t="s">
        <v>135</v>
      </c>
      <c r="B26" s="8">
        <v>20000</v>
      </c>
      <c r="C26" s="8">
        <v>120000</v>
      </c>
      <c r="D26" s="8">
        <v>200000</v>
      </c>
      <c r="E26" s="8">
        <v>250000</v>
      </c>
      <c r="F26" s="8">
        <v>300000</v>
      </c>
    </row>
    <row r="27" spans="1:6" x14ac:dyDescent="0.25">
      <c r="A27" t="s">
        <v>136</v>
      </c>
      <c r="B27" s="8">
        <v>30000</v>
      </c>
      <c r="C27" s="8">
        <v>80000</v>
      </c>
      <c r="D27" s="8">
        <v>120000</v>
      </c>
      <c r="E27" s="8">
        <v>150000</v>
      </c>
      <c r="F27" s="8">
        <v>180000</v>
      </c>
    </row>
    <row r="29" spans="1:6" ht="15.75" x14ac:dyDescent="0.25">
      <c r="A29" s="14" t="s">
        <v>137</v>
      </c>
    </row>
    <row r="30" spans="1:6" x14ac:dyDescent="0.25">
      <c r="A30" t="s">
        <v>138</v>
      </c>
      <c r="B30" s="8">
        <v>200000</v>
      </c>
      <c r="C30" s="8">
        <v>1500000</v>
      </c>
      <c r="D30" s="8">
        <v>4000000</v>
      </c>
      <c r="E30" s="8">
        <v>0</v>
      </c>
      <c r="F30" s="8">
        <v>0</v>
      </c>
    </row>
    <row r="31" spans="1:6" x14ac:dyDescent="0.25">
      <c r="A31" t="s">
        <v>139</v>
      </c>
      <c r="B31" s="8">
        <v>2000000</v>
      </c>
      <c r="C31" s="8">
        <v>7000000</v>
      </c>
      <c r="D31" s="8">
        <v>14000000</v>
      </c>
      <c r="E31" s="8">
        <v>0</v>
      </c>
      <c r="F31" s="8">
        <v>0</v>
      </c>
    </row>
    <row r="32" spans="1:6" x14ac:dyDescent="0.25">
      <c r="A32" s="72" t="s">
        <v>449</v>
      </c>
      <c r="B32" s="73"/>
      <c r="C32" s="73"/>
      <c r="D32" s="73"/>
      <c r="E32" s="73"/>
      <c r="F32" s="73"/>
    </row>
    <row r="33" spans="1:6" x14ac:dyDescent="0.25">
      <c r="A33" s="67" t="s">
        <v>450</v>
      </c>
    </row>
    <row r="35" spans="1:6" x14ac:dyDescent="0.25">
      <c r="A35" s="32" t="s">
        <v>451</v>
      </c>
    </row>
    <row r="36" spans="1:6" x14ac:dyDescent="0.25">
      <c r="A36" t="s">
        <v>452</v>
      </c>
      <c r="B36" s="71">
        <v>0</v>
      </c>
      <c r="C36" s="71">
        <v>0</v>
      </c>
      <c r="D36" s="71">
        <v>15</v>
      </c>
      <c r="E36" s="71">
        <v>35</v>
      </c>
      <c r="F36" s="71">
        <v>60</v>
      </c>
    </row>
    <row r="37" spans="1:6" x14ac:dyDescent="0.25">
      <c r="A37" t="s">
        <v>453</v>
      </c>
      <c r="B37" s="71">
        <v>0</v>
      </c>
      <c r="C37" s="71">
        <v>0</v>
      </c>
      <c r="D37" s="71">
        <v>35000</v>
      </c>
      <c r="E37" s="71">
        <v>38000</v>
      </c>
      <c r="F37" s="71">
        <v>40000</v>
      </c>
    </row>
    <row r="38" spans="1:6" x14ac:dyDescent="0.25">
      <c r="A38" t="s">
        <v>454</v>
      </c>
      <c r="B38" s="71">
        <v>0</v>
      </c>
      <c r="C38" s="71">
        <v>0</v>
      </c>
      <c r="D38" s="71">
        <v>3500</v>
      </c>
      <c r="E38" s="71">
        <v>3800</v>
      </c>
      <c r="F38" s="71">
        <v>4000</v>
      </c>
    </row>
    <row r="40" spans="1:6" x14ac:dyDescent="0.25">
      <c r="A40" s="32" t="s">
        <v>455</v>
      </c>
    </row>
    <row r="41" spans="1:6" x14ac:dyDescent="0.25">
      <c r="A41" t="s">
        <v>452</v>
      </c>
      <c r="B41" s="71">
        <v>0</v>
      </c>
      <c r="C41" s="71">
        <v>0</v>
      </c>
      <c r="D41" s="71">
        <v>25</v>
      </c>
      <c r="E41" s="71">
        <v>50</v>
      </c>
      <c r="F41" s="71">
        <v>80</v>
      </c>
    </row>
    <row r="42" spans="1:6" x14ac:dyDescent="0.25">
      <c r="A42" t="s">
        <v>453</v>
      </c>
      <c r="B42" s="71">
        <v>0</v>
      </c>
      <c r="C42" s="71">
        <v>0</v>
      </c>
      <c r="D42" s="71">
        <v>10000</v>
      </c>
      <c r="E42" s="71">
        <v>11500</v>
      </c>
      <c r="F42" s="71">
        <v>12500</v>
      </c>
    </row>
    <row r="43" spans="1:6" x14ac:dyDescent="0.25">
      <c r="A43" t="s">
        <v>454</v>
      </c>
      <c r="B43" s="71">
        <v>0</v>
      </c>
      <c r="C43" s="71">
        <v>0</v>
      </c>
      <c r="D43" s="71">
        <v>1000</v>
      </c>
      <c r="E43" s="71">
        <v>1150</v>
      </c>
      <c r="F43" s="71">
        <v>1250</v>
      </c>
    </row>
    <row r="45" spans="1:6" x14ac:dyDescent="0.25">
      <c r="A45" s="32" t="s">
        <v>456</v>
      </c>
    </row>
    <row r="46" spans="1:6" x14ac:dyDescent="0.25">
      <c r="A46" t="s">
        <v>452</v>
      </c>
      <c r="B46" s="71">
        <v>0</v>
      </c>
      <c r="C46" s="71">
        <v>0</v>
      </c>
      <c r="D46" s="71">
        <v>5</v>
      </c>
      <c r="E46" s="71">
        <v>12</v>
      </c>
      <c r="F46" s="71">
        <v>20</v>
      </c>
    </row>
    <row r="47" spans="1:6" x14ac:dyDescent="0.25">
      <c r="A47" t="s">
        <v>453</v>
      </c>
      <c r="B47" s="71">
        <v>0</v>
      </c>
      <c r="C47" s="71">
        <v>0</v>
      </c>
      <c r="D47" s="71">
        <v>10000</v>
      </c>
      <c r="E47" s="71">
        <v>11000</v>
      </c>
      <c r="F47" s="71">
        <v>12000</v>
      </c>
    </row>
    <row r="48" spans="1:6" x14ac:dyDescent="0.25">
      <c r="A48" t="s">
        <v>454</v>
      </c>
      <c r="B48" s="71">
        <v>0</v>
      </c>
      <c r="C48" s="71">
        <v>0</v>
      </c>
      <c r="D48" s="71">
        <v>800</v>
      </c>
      <c r="E48" s="71">
        <v>900</v>
      </c>
      <c r="F48" s="71">
        <v>1000</v>
      </c>
    </row>
    <row r="50" spans="1:6" x14ac:dyDescent="0.25">
      <c r="A50" s="32" t="s">
        <v>457</v>
      </c>
      <c r="B50" s="94">
        <v>0</v>
      </c>
      <c r="C50" s="94">
        <v>0</v>
      </c>
      <c r="D50" s="94">
        <v>0.08</v>
      </c>
      <c r="E50" s="94">
        <v>0.1</v>
      </c>
      <c r="F50" s="94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0"/>
  <sheetViews>
    <sheetView topLeftCell="A54" workbookViewId="0">
      <selection activeCell="D29" sqref="D29"/>
    </sheetView>
  </sheetViews>
  <sheetFormatPr defaultRowHeight="15" x14ac:dyDescent="0.25"/>
  <cols>
    <col min="1" max="1" width="30" customWidth="1"/>
    <col min="2" max="6" width="15" customWidth="1"/>
  </cols>
  <sheetData>
    <row r="1" spans="1:6" ht="18.75" x14ac:dyDescent="0.3">
      <c r="A1" s="3" t="s">
        <v>140</v>
      </c>
    </row>
    <row r="3" spans="1:6" x14ac:dyDescent="0.25">
      <c r="A3" t="s">
        <v>46</v>
      </c>
      <c r="B3" s="13">
        <v>2026</v>
      </c>
      <c r="C3" s="13">
        <v>2027</v>
      </c>
      <c r="D3" s="13">
        <v>2028</v>
      </c>
      <c r="E3" s="13">
        <v>2029</v>
      </c>
      <c r="F3" s="13">
        <v>2030</v>
      </c>
    </row>
    <row r="5" spans="1:6" x14ac:dyDescent="0.25">
      <c r="A5" s="15" t="s">
        <v>63</v>
      </c>
    </row>
    <row r="6" spans="1:6" x14ac:dyDescent="0.25">
      <c r="A6" t="s">
        <v>141</v>
      </c>
      <c r="B6" s="6">
        <v>0</v>
      </c>
      <c r="C6" s="5">
        <f>B9</f>
        <v>5</v>
      </c>
      <c r="D6" s="5">
        <f t="shared" ref="D6:F6" si="0">C9</f>
        <v>54.6</v>
      </c>
      <c r="E6" s="5">
        <f t="shared" si="0"/>
        <v>299.14000000000004</v>
      </c>
      <c r="F6" s="5">
        <f t="shared" si="0"/>
        <v>669.22600000000011</v>
      </c>
    </row>
    <row r="7" spans="1:6" x14ac:dyDescent="0.25">
      <c r="A7" t="s">
        <v>142</v>
      </c>
      <c r="B7" s="16">
        <f>'04_Assumptions'!B12</f>
        <v>5</v>
      </c>
      <c r="C7" s="16">
        <f>'04_Assumptions'!C12</f>
        <v>50</v>
      </c>
      <c r="D7" s="16">
        <f>'04_Assumptions'!D12</f>
        <v>250</v>
      </c>
      <c r="E7" s="16">
        <f>'04_Assumptions'!E12</f>
        <v>400</v>
      </c>
      <c r="F7" s="16">
        <f>'04_Assumptions'!F12</f>
        <v>500</v>
      </c>
    </row>
    <row r="8" spans="1:6" x14ac:dyDescent="0.25">
      <c r="A8" t="s">
        <v>143</v>
      </c>
      <c r="B8" s="5">
        <f>B6*'04_Assumptions'!B15</f>
        <v>0</v>
      </c>
      <c r="C8" s="5">
        <f>C6*'04_Assumptions'!C15</f>
        <v>0.4</v>
      </c>
      <c r="D8" s="5">
        <f>D6*'04_Assumptions'!D15</f>
        <v>5.4600000000000009</v>
      </c>
      <c r="E8" s="5">
        <f>E6*'04_Assumptions'!E15</f>
        <v>29.914000000000005</v>
      </c>
      <c r="F8" s="5">
        <f>F6*'04_Assumptions'!F15</f>
        <v>80.307120000000012</v>
      </c>
    </row>
    <row r="9" spans="1:6" x14ac:dyDescent="0.25">
      <c r="A9" t="s">
        <v>144</v>
      </c>
      <c r="B9" s="5">
        <f>B6+B7-B8</f>
        <v>5</v>
      </c>
      <c r="C9" s="5">
        <f>C6+C7-C8</f>
        <v>54.6</v>
      </c>
      <c r="D9" s="5">
        <f>D6+D7-D8</f>
        <v>299.14000000000004</v>
      </c>
      <c r="E9" s="5">
        <f>E6+E7-E8</f>
        <v>669.22600000000011</v>
      </c>
      <c r="F9" s="5">
        <f>F6+F7-F8</f>
        <v>1088.9188800000002</v>
      </c>
    </row>
    <row r="10" spans="1:6" x14ac:dyDescent="0.25">
      <c r="A10" t="s">
        <v>145</v>
      </c>
      <c r="B10" s="9">
        <f>'04_Assumptions'!B7</f>
        <v>0</v>
      </c>
      <c r="C10" s="9">
        <f>'04_Assumptions'!C7</f>
        <v>600</v>
      </c>
      <c r="D10" s="9">
        <f>'04_Assumptions'!D7</f>
        <v>800</v>
      </c>
      <c r="E10" s="9">
        <f>'04_Assumptions'!E7</f>
        <v>900</v>
      </c>
      <c r="F10" s="9">
        <f>'04_Assumptions'!F7</f>
        <v>1000</v>
      </c>
    </row>
    <row r="11" spans="1:6" x14ac:dyDescent="0.25">
      <c r="A11" t="s">
        <v>47</v>
      </c>
      <c r="B11" s="9">
        <f>B9*B10</f>
        <v>0</v>
      </c>
      <c r="C11" s="9">
        <f>C9*C10</f>
        <v>32760</v>
      </c>
      <c r="D11" s="9">
        <f>D9*D10</f>
        <v>239312.00000000003</v>
      </c>
      <c r="E11" s="9">
        <f>E9*E10</f>
        <v>602303.40000000014</v>
      </c>
      <c r="F11" s="9">
        <f>F9*F10</f>
        <v>1088918.8800000001</v>
      </c>
    </row>
    <row r="13" spans="1:6" x14ac:dyDescent="0.25">
      <c r="A13" s="15" t="s">
        <v>64</v>
      </c>
    </row>
    <row r="14" spans="1:6" x14ac:dyDescent="0.25">
      <c r="A14" t="s">
        <v>141</v>
      </c>
      <c r="B14" s="6">
        <v>0</v>
      </c>
      <c r="C14" s="5">
        <f>B17</f>
        <v>3</v>
      </c>
      <c r="D14" s="5">
        <f t="shared" ref="D14:F14" si="1">C17</f>
        <v>32.76</v>
      </c>
      <c r="E14" s="5">
        <f t="shared" si="1"/>
        <v>179.48399999999998</v>
      </c>
      <c r="F14" s="5">
        <f t="shared" si="1"/>
        <v>411.53559999999999</v>
      </c>
    </row>
    <row r="15" spans="1:6" x14ac:dyDescent="0.25">
      <c r="A15" t="s">
        <v>142</v>
      </c>
      <c r="B15" s="16">
        <f>'04_Assumptions'!B13</f>
        <v>3</v>
      </c>
      <c r="C15" s="16">
        <f>'04_Assumptions'!C13</f>
        <v>30</v>
      </c>
      <c r="D15" s="16">
        <f>'04_Assumptions'!D13</f>
        <v>150</v>
      </c>
      <c r="E15" s="16">
        <f>'04_Assumptions'!E13</f>
        <v>250</v>
      </c>
      <c r="F15" s="16">
        <f>'04_Assumptions'!F13</f>
        <v>350</v>
      </c>
    </row>
    <row r="16" spans="1:6" x14ac:dyDescent="0.25">
      <c r="A16" t="s">
        <v>143</v>
      </c>
      <c r="B16" s="5">
        <f>B14*'04_Assumptions'!B15</f>
        <v>0</v>
      </c>
      <c r="C16" s="5">
        <f>C14*'04_Assumptions'!C15</f>
        <v>0.24</v>
      </c>
      <c r="D16" s="5">
        <f>D14*'04_Assumptions'!D15</f>
        <v>3.2759999999999998</v>
      </c>
      <c r="E16" s="5">
        <f>E14*'04_Assumptions'!E15</f>
        <v>17.948399999999999</v>
      </c>
      <c r="F16" s="5">
        <f>F14*'04_Assumptions'!F15</f>
        <v>49.384271999999996</v>
      </c>
    </row>
    <row r="17" spans="1:6" x14ac:dyDescent="0.25">
      <c r="A17" t="s">
        <v>144</v>
      </c>
      <c r="B17" s="5">
        <f>B14+B15-B16</f>
        <v>3</v>
      </c>
      <c r="C17" s="5">
        <f>C14+C15-C16</f>
        <v>32.76</v>
      </c>
      <c r="D17" s="5">
        <f>D14+D15-D16</f>
        <v>179.48399999999998</v>
      </c>
      <c r="E17" s="5">
        <f>E14+E15-E16</f>
        <v>411.53559999999999</v>
      </c>
      <c r="F17" s="5">
        <f>F14+F15-F16</f>
        <v>712.15132799999992</v>
      </c>
    </row>
    <row r="18" spans="1:6" x14ac:dyDescent="0.25">
      <c r="A18" t="s">
        <v>145</v>
      </c>
      <c r="B18" s="9">
        <f>'04_Assumptions'!B8</f>
        <v>0</v>
      </c>
      <c r="C18" s="9">
        <f>'04_Assumptions'!C8</f>
        <v>150</v>
      </c>
      <c r="D18" s="9">
        <f>'04_Assumptions'!D8</f>
        <v>200</v>
      </c>
      <c r="E18" s="9">
        <f>'04_Assumptions'!E8</f>
        <v>250</v>
      </c>
      <c r="F18" s="9">
        <f>'04_Assumptions'!F8</f>
        <v>300</v>
      </c>
    </row>
    <row r="19" spans="1:6" x14ac:dyDescent="0.25">
      <c r="A19" t="s">
        <v>47</v>
      </c>
      <c r="B19" s="9">
        <f>B17*B18</f>
        <v>0</v>
      </c>
      <c r="C19" s="9">
        <f>C17*C18</f>
        <v>4914</v>
      </c>
      <c r="D19" s="9">
        <f>D17*D18</f>
        <v>35896.799999999996</v>
      </c>
      <c r="E19" s="9">
        <f>E17*E18</f>
        <v>102883.9</v>
      </c>
      <c r="F19" s="9">
        <f>F17*F18</f>
        <v>213645.39839999998</v>
      </c>
    </row>
    <row r="21" spans="1:6" x14ac:dyDescent="0.25">
      <c r="A21" s="15" t="s">
        <v>65</v>
      </c>
    </row>
    <row r="22" spans="1:6" x14ac:dyDescent="0.25">
      <c r="A22" t="s">
        <v>146</v>
      </c>
      <c r="B22" s="6">
        <v>0</v>
      </c>
      <c r="C22" s="5">
        <f>B25</f>
        <v>2</v>
      </c>
      <c r="D22" s="5">
        <f t="shared" ref="D22:F22" si="2">C25</f>
        <v>11.84</v>
      </c>
      <c r="E22" s="5">
        <f t="shared" si="2"/>
        <v>50.656000000000006</v>
      </c>
      <c r="F22" s="5">
        <f t="shared" si="2"/>
        <v>115.5904</v>
      </c>
    </row>
    <row r="23" spans="1:6" x14ac:dyDescent="0.25">
      <c r="A23" t="s">
        <v>147</v>
      </c>
      <c r="B23" s="16">
        <f>'04_Assumptions'!B14</f>
        <v>2</v>
      </c>
      <c r="C23" s="16">
        <f>'04_Assumptions'!C14</f>
        <v>10</v>
      </c>
      <c r="D23" s="16">
        <f>'04_Assumptions'!D14</f>
        <v>40</v>
      </c>
      <c r="E23" s="16">
        <f>'04_Assumptions'!E14</f>
        <v>70</v>
      </c>
      <c r="F23" s="16">
        <f>'04_Assumptions'!F14</f>
        <v>100</v>
      </c>
    </row>
    <row r="24" spans="1:6" x14ac:dyDescent="0.25">
      <c r="A24" t="s">
        <v>148</v>
      </c>
      <c r="B24" s="5">
        <f>B22*'04_Assumptions'!B15</f>
        <v>0</v>
      </c>
      <c r="C24" s="5">
        <f>C22*'04_Assumptions'!C15</f>
        <v>0.16</v>
      </c>
      <c r="D24" s="5">
        <f>D22*'04_Assumptions'!D15</f>
        <v>1.1839999999999999</v>
      </c>
      <c r="E24" s="5">
        <f>E22*'04_Assumptions'!E15</f>
        <v>5.0656000000000008</v>
      </c>
      <c r="F24" s="5">
        <f>F22*'04_Assumptions'!F15</f>
        <v>13.870848000000001</v>
      </c>
    </row>
    <row r="25" spans="1:6" x14ac:dyDescent="0.25">
      <c r="A25" t="s">
        <v>149</v>
      </c>
      <c r="B25" s="5">
        <f>B22+B23-B24</f>
        <v>2</v>
      </c>
      <c r="C25" s="5">
        <f>C22+C23-C24</f>
        <v>11.84</v>
      </c>
      <c r="D25" s="5">
        <f>D22+D23-D24</f>
        <v>50.656000000000006</v>
      </c>
      <c r="E25" s="5">
        <f>E22+E23-E24</f>
        <v>115.5904</v>
      </c>
      <c r="F25" s="5">
        <f>F22+F23-F24</f>
        <v>201.71955199999999</v>
      </c>
    </row>
    <row r="26" spans="1:6" x14ac:dyDescent="0.25">
      <c r="A26" t="s">
        <v>150</v>
      </c>
      <c r="B26" s="9">
        <f>'04_Assumptions'!B9</f>
        <v>0</v>
      </c>
      <c r="C26" s="9">
        <f>'04_Assumptions'!C9</f>
        <v>2000</v>
      </c>
      <c r="D26" s="9">
        <f>'04_Assumptions'!D9</f>
        <v>3000</v>
      </c>
      <c r="E26" s="9">
        <f>'04_Assumptions'!E9</f>
        <v>4000</v>
      </c>
      <c r="F26" s="9">
        <f>'04_Assumptions'!F9</f>
        <v>5000</v>
      </c>
    </row>
    <row r="27" spans="1:6" x14ac:dyDescent="0.25">
      <c r="A27" t="s">
        <v>47</v>
      </c>
      <c r="B27" s="9">
        <f>B25*B26</f>
        <v>0</v>
      </c>
      <c r="C27" s="9">
        <f>C25*C26</f>
        <v>23680</v>
      </c>
      <c r="D27" s="9">
        <f>D25*D26</f>
        <v>151968.00000000003</v>
      </c>
      <c r="E27" s="9">
        <f>E25*E26</f>
        <v>462361.60000000003</v>
      </c>
      <c r="F27" s="9">
        <f>F25*F26</f>
        <v>1008597.76</v>
      </c>
    </row>
    <row r="29" spans="1:6" ht="15.75" x14ac:dyDescent="0.25">
      <c r="A29" s="14" t="s">
        <v>151</v>
      </c>
      <c r="B29" s="17">
        <f>B11+B19+B27</f>
        <v>0</v>
      </c>
      <c r="C29" s="17">
        <f>C11+C19+C27</f>
        <v>61354</v>
      </c>
      <c r="D29" s="17">
        <f>D11+D19+D27</f>
        <v>427176.80000000005</v>
      </c>
      <c r="E29" s="17">
        <f>E11+E19+E27</f>
        <v>1167548.9000000001</v>
      </c>
      <c r="F29" s="17">
        <f>F11+F19+F27</f>
        <v>2311162.0384</v>
      </c>
    </row>
    <row r="30" spans="1:6" x14ac:dyDescent="0.25">
      <c r="A30" t="s">
        <v>152</v>
      </c>
      <c r="B30" s="5">
        <f>B9+B17+B25</f>
        <v>10</v>
      </c>
      <c r="C30" s="5">
        <f>C9+C17+C25</f>
        <v>99.2</v>
      </c>
      <c r="D30" s="5">
        <f>D9+D17+D25</f>
        <v>529.28</v>
      </c>
      <c r="E30" s="5">
        <f>E9+E17+E25</f>
        <v>1196.3520000000001</v>
      </c>
      <c r="F30" s="5">
        <f>F9+F17+F25</f>
        <v>2002.7897600000001</v>
      </c>
    </row>
    <row r="31" spans="1:6" x14ac:dyDescent="0.25">
      <c r="A31" s="72" t="s">
        <v>458</v>
      </c>
      <c r="B31" s="73"/>
      <c r="C31" s="73"/>
      <c r="D31" s="73"/>
      <c r="E31" s="73"/>
      <c r="F31" s="73"/>
    </row>
    <row r="33" spans="1:6" x14ac:dyDescent="0.25">
      <c r="A33" s="32" t="s">
        <v>459</v>
      </c>
    </row>
    <row r="34" spans="1:6" x14ac:dyDescent="0.25">
      <c r="A34" t="s">
        <v>141</v>
      </c>
      <c r="B34">
        <v>0</v>
      </c>
      <c r="C34">
        <f>B37</f>
        <v>0</v>
      </c>
      <c r="D34">
        <f>C37</f>
        <v>0</v>
      </c>
      <c r="E34">
        <f>D37</f>
        <v>15</v>
      </c>
      <c r="F34">
        <f>E37</f>
        <v>48.5</v>
      </c>
    </row>
    <row r="35" spans="1:6" x14ac:dyDescent="0.25">
      <c r="A35" t="s">
        <v>142</v>
      </c>
      <c r="B35">
        <f>'04_Assumptions'!B36</f>
        <v>0</v>
      </c>
      <c r="C35">
        <f>'04_Assumptions'!C36</f>
        <v>0</v>
      </c>
      <c r="D35">
        <f>'04_Assumptions'!D36</f>
        <v>15</v>
      </c>
      <c r="E35">
        <f>'04_Assumptions'!E36</f>
        <v>35</v>
      </c>
      <c r="F35">
        <f>'04_Assumptions'!F36</f>
        <v>60</v>
      </c>
    </row>
    <row r="36" spans="1:6" x14ac:dyDescent="0.25">
      <c r="A36" t="s">
        <v>143</v>
      </c>
      <c r="B36">
        <f>B34*'04_Assumptions'!B50</f>
        <v>0</v>
      </c>
      <c r="C36">
        <f>C34*'04_Assumptions'!C50</f>
        <v>0</v>
      </c>
      <c r="D36">
        <f>D34*'04_Assumptions'!D50</f>
        <v>0</v>
      </c>
      <c r="E36">
        <f>E34*'04_Assumptions'!E50</f>
        <v>1.5</v>
      </c>
      <c r="F36">
        <f>F34*'04_Assumptions'!F50</f>
        <v>4.8500000000000005</v>
      </c>
    </row>
    <row r="37" spans="1:6" x14ac:dyDescent="0.25">
      <c r="A37" t="s">
        <v>144</v>
      </c>
      <c r="B37">
        <f>B34+B35-B36</f>
        <v>0</v>
      </c>
      <c r="C37">
        <f>C34+C35-C36</f>
        <v>0</v>
      </c>
      <c r="D37">
        <f>D34+D35-D36</f>
        <v>15</v>
      </c>
      <c r="E37">
        <f>E34+E35-E36</f>
        <v>48.5</v>
      </c>
      <c r="F37">
        <f>F34+F35-F36</f>
        <v>103.65</v>
      </c>
    </row>
    <row r="38" spans="1:6" x14ac:dyDescent="0.25">
      <c r="A38" t="s">
        <v>145</v>
      </c>
      <c r="B38">
        <f>'04_Assumptions'!B37</f>
        <v>0</v>
      </c>
      <c r="C38">
        <f>'04_Assumptions'!C37</f>
        <v>0</v>
      </c>
      <c r="D38">
        <f>'04_Assumptions'!D37</f>
        <v>35000</v>
      </c>
      <c r="E38">
        <f>'04_Assumptions'!E37</f>
        <v>38000</v>
      </c>
      <c r="F38">
        <f>'04_Assumptions'!F37</f>
        <v>40000</v>
      </c>
    </row>
    <row r="39" spans="1:6" x14ac:dyDescent="0.25">
      <c r="A39" t="s">
        <v>47</v>
      </c>
      <c r="B39">
        <f>(B34+B37)/2*B38</f>
        <v>0</v>
      </c>
      <c r="C39">
        <f>(C34+C37)/2*C38</f>
        <v>0</v>
      </c>
      <c r="D39">
        <f>(D34+D37)/2*D38</f>
        <v>262500</v>
      </c>
      <c r="E39">
        <f>(E34+E37)/2*E38</f>
        <v>1206500</v>
      </c>
      <c r="F39">
        <f>(F34+F37)/2*F38</f>
        <v>3043000</v>
      </c>
    </row>
    <row r="41" spans="1:6" x14ac:dyDescent="0.25">
      <c r="A41" s="32" t="s">
        <v>460</v>
      </c>
    </row>
    <row r="42" spans="1:6" x14ac:dyDescent="0.25">
      <c r="A42" t="s">
        <v>141</v>
      </c>
      <c r="B42">
        <v>0</v>
      </c>
      <c r="C42">
        <f>B45</f>
        <v>0</v>
      </c>
      <c r="D42">
        <f>C45</f>
        <v>0</v>
      </c>
      <c r="E42">
        <f>D45</f>
        <v>25</v>
      </c>
      <c r="F42">
        <f>E45</f>
        <v>72.5</v>
      </c>
    </row>
    <row r="43" spans="1:6" x14ac:dyDescent="0.25">
      <c r="A43" t="s">
        <v>142</v>
      </c>
      <c r="B43">
        <f>'04_Assumptions'!B41</f>
        <v>0</v>
      </c>
      <c r="C43">
        <f>'04_Assumptions'!C41</f>
        <v>0</v>
      </c>
      <c r="D43">
        <f>'04_Assumptions'!D41</f>
        <v>25</v>
      </c>
      <c r="E43">
        <f>'04_Assumptions'!E41</f>
        <v>50</v>
      </c>
      <c r="F43">
        <f>'04_Assumptions'!F41</f>
        <v>80</v>
      </c>
    </row>
    <row r="44" spans="1:6" x14ac:dyDescent="0.25">
      <c r="A44" t="s">
        <v>143</v>
      </c>
      <c r="B44">
        <f>B42*'04_Assumptions'!B50</f>
        <v>0</v>
      </c>
      <c r="C44">
        <f>C42*'04_Assumptions'!C50</f>
        <v>0</v>
      </c>
      <c r="D44">
        <f>D42*'04_Assumptions'!D50</f>
        <v>0</v>
      </c>
      <c r="E44">
        <f>E42*'04_Assumptions'!E50</f>
        <v>2.5</v>
      </c>
      <c r="F44">
        <f>F42*'04_Assumptions'!F50</f>
        <v>7.25</v>
      </c>
    </row>
    <row r="45" spans="1:6" x14ac:dyDescent="0.25">
      <c r="A45" t="s">
        <v>144</v>
      </c>
      <c r="B45">
        <f>B42+B43-B44</f>
        <v>0</v>
      </c>
      <c r="C45">
        <f>C42+C43-C44</f>
        <v>0</v>
      </c>
      <c r="D45">
        <f>D42+D43-D44</f>
        <v>25</v>
      </c>
      <c r="E45">
        <f>E42+E43-E44</f>
        <v>72.5</v>
      </c>
      <c r="F45">
        <f>F42+F43-F44</f>
        <v>145.25</v>
      </c>
    </row>
    <row r="46" spans="1:6" x14ac:dyDescent="0.25">
      <c r="A46" t="s">
        <v>145</v>
      </c>
      <c r="B46">
        <f>'04_Assumptions'!B42</f>
        <v>0</v>
      </c>
      <c r="C46">
        <f>'04_Assumptions'!C42</f>
        <v>0</v>
      </c>
      <c r="D46">
        <f>'04_Assumptions'!D42</f>
        <v>10000</v>
      </c>
      <c r="E46">
        <f>'04_Assumptions'!E42</f>
        <v>11500</v>
      </c>
      <c r="F46">
        <f>'04_Assumptions'!F42</f>
        <v>12500</v>
      </c>
    </row>
    <row r="47" spans="1:6" x14ac:dyDescent="0.25">
      <c r="A47" t="s">
        <v>47</v>
      </c>
      <c r="B47">
        <f>(B42+B45)/2*B46</f>
        <v>0</v>
      </c>
      <c r="C47">
        <f>(C42+C45)/2*C46</f>
        <v>0</v>
      </c>
      <c r="D47">
        <f>(D42+D45)/2*D46</f>
        <v>125000</v>
      </c>
      <c r="E47">
        <f>(E42+E45)/2*E46</f>
        <v>560625</v>
      </c>
      <c r="F47">
        <f>(F42+F45)/2*F46</f>
        <v>1360937.5</v>
      </c>
    </row>
    <row r="49" spans="1:6" x14ac:dyDescent="0.25">
      <c r="A49" s="32" t="s">
        <v>256</v>
      </c>
    </row>
    <row r="50" spans="1:6" x14ac:dyDescent="0.25">
      <c r="A50" t="s">
        <v>141</v>
      </c>
      <c r="B50">
        <v>0</v>
      </c>
      <c r="C50">
        <f>B53</f>
        <v>0</v>
      </c>
      <c r="D50">
        <f>C53</f>
        <v>0</v>
      </c>
      <c r="E50">
        <f>D53</f>
        <v>5</v>
      </c>
      <c r="F50">
        <f>E53</f>
        <v>16.5</v>
      </c>
    </row>
    <row r="51" spans="1:6" x14ac:dyDescent="0.25">
      <c r="A51" t="s">
        <v>142</v>
      </c>
      <c r="B51">
        <f>'04_Assumptions'!B46</f>
        <v>0</v>
      </c>
      <c r="C51">
        <f>'04_Assumptions'!C46</f>
        <v>0</v>
      </c>
      <c r="D51">
        <f>'04_Assumptions'!D46</f>
        <v>5</v>
      </c>
      <c r="E51">
        <f>'04_Assumptions'!E46</f>
        <v>12</v>
      </c>
      <c r="F51">
        <f>'04_Assumptions'!F46</f>
        <v>20</v>
      </c>
    </row>
    <row r="52" spans="1:6" x14ac:dyDescent="0.25">
      <c r="A52" t="s">
        <v>143</v>
      </c>
      <c r="B52">
        <f>B50*'04_Assumptions'!B50</f>
        <v>0</v>
      </c>
      <c r="C52">
        <f>C50*'04_Assumptions'!C50</f>
        <v>0</v>
      </c>
      <c r="D52">
        <f>D50*'04_Assumptions'!D50</f>
        <v>0</v>
      </c>
      <c r="E52">
        <f>E50*'04_Assumptions'!E50</f>
        <v>0.5</v>
      </c>
      <c r="F52">
        <f>F50*'04_Assumptions'!F50</f>
        <v>1.6500000000000001</v>
      </c>
    </row>
    <row r="53" spans="1:6" x14ac:dyDescent="0.25">
      <c r="A53" t="s">
        <v>144</v>
      </c>
      <c r="B53">
        <f>B50+B51-B52</f>
        <v>0</v>
      </c>
      <c r="C53">
        <f>C50+C51-C52</f>
        <v>0</v>
      </c>
      <c r="D53">
        <f>D50+D51-D52</f>
        <v>5</v>
      </c>
      <c r="E53">
        <f>E50+E51-E52</f>
        <v>16.5</v>
      </c>
      <c r="F53">
        <f>F50+F51-F52</f>
        <v>34.85</v>
      </c>
    </row>
    <row r="54" spans="1:6" x14ac:dyDescent="0.25">
      <c r="A54" t="s">
        <v>145</v>
      </c>
      <c r="B54">
        <f>'04_Assumptions'!B47</f>
        <v>0</v>
      </c>
      <c r="C54">
        <f>'04_Assumptions'!C47</f>
        <v>0</v>
      </c>
      <c r="D54">
        <f>'04_Assumptions'!D47</f>
        <v>10000</v>
      </c>
      <c r="E54">
        <f>'04_Assumptions'!E47</f>
        <v>11000</v>
      </c>
      <c r="F54">
        <f>'04_Assumptions'!F47</f>
        <v>12000</v>
      </c>
    </row>
    <row r="55" spans="1:6" x14ac:dyDescent="0.25">
      <c r="A55" t="s">
        <v>47</v>
      </c>
      <c r="B55">
        <f>(B50+B53)/2*B54</f>
        <v>0</v>
      </c>
      <c r="C55">
        <f>(C50+C53)/2*C54</f>
        <v>0</v>
      </c>
      <c r="D55">
        <f>(D50+D53)/2*D54</f>
        <v>25000</v>
      </c>
      <c r="E55">
        <f>(E50+E53)/2*E54</f>
        <v>118250</v>
      </c>
      <c r="F55">
        <f>(F50+F53)/2*F54</f>
        <v>308100</v>
      </c>
    </row>
    <row r="57" spans="1:6" x14ac:dyDescent="0.25">
      <c r="A57" s="74" t="s">
        <v>461</v>
      </c>
      <c r="B57" s="76"/>
      <c r="C57" s="76"/>
      <c r="D57" s="76"/>
      <c r="E57" s="76"/>
      <c r="F57" s="76"/>
    </row>
    <row r="58" spans="1:6" x14ac:dyDescent="0.25">
      <c r="A58" s="92" t="s">
        <v>47</v>
      </c>
      <c r="B58" s="92">
        <f>B39+B47+B55</f>
        <v>0</v>
      </c>
      <c r="C58" s="92">
        <f>C39+C47+C55</f>
        <v>0</v>
      </c>
      <c r="D58" s="92">
        <f>D39+D47+D55</f>
        <v>412500</v>
      </c>
      <c r="E58" s="92">
        <f>E39+E47+E55</f>
        <v>1885375</v>
      </c>
      <c r="F58" s="92">
        <f>F39+F47+F55</f>
        <v>4712037.5</v>
      </c>
    </row>
    <row r="59" spans="1:6" x14ac:dyDescent="0.25">
      <c r="A59" t="s">
        <v>462</v>
      </c>
      <c r="B59">
        <f>B37+B45+B53</f>
        <v>0</v>
      </c>
      <c r="C59">
        <f>C37+C45+C53</f>
        <v>0</v>
      </c>
      <c r="D59">
        <f>D37+D45+D53</f>
        <v>45</v>
      </c>
      <c r="E59">
        <f>E37+E45+E53</f>
        <v>137.5</v>
      </c>
      <c r="F59">
        <f>F37+F45+F53</f>
        <v>283.75</v>
      </c>
    </row>
    <row r="61" spans="1:6" ht="15.75" x14ac:dyDescent="0.25">
      <c r="A61" s="80" t="s">
        <v>463</v>
      </c>
      <c r="B61" s="81"/>
      <c r="C61" s="81"/>
      <c r="D61" s="81"/>
      <c r="E61" s="81"/>
      <c r="F61" s="81"/>
    </row>
    <row r="62" spans="1:6" x14ac:dyDescent="0.25">
      <c r="A62" s="32" t="s">
        <v>464</v>
      </c>
      <c r="B62" s="95">
        <f>B29+B58</f>
        <v>0</v>
      </c>
      <c r="C62" s="95">
        <f>C29+C58</f>
        <v>61354</v>
      </c>
      <c r="D62" s="95">
        <f>D29+D58</f>
        <v>839676.8</v>
      </c>
      <c r="E62" s="95">
        <f>E29+E58</f>
        <v>3052923.9000000004</v>
      </c>
      <c r="F62" s="95">
        <f>F29+F58</f>
        <v>7023199.5384</v>
      </c>
    </row>
    <row r="63" spans="1:6" x14ac:dyDescent="0.25">
      <c r="A63" s="32" t="s">
        <v>465</v>
      </c>
      <c r="B63" s="95">
        <f>B30+B59</f>
        <v>10</v>
      </c>
      <c r="C63" s="95">
        <f>C30+C59</f>
        <v>99.2</v>
      </c>
      <c r="D63" s="95">
        <f>D30+D59</f>
        <v>574.28</v>
      </c>
      <c r="E63" s="95">
        <f>E30+E59</f>
        <v>1333.8520000000001</v>
      </c>
      <c r="F63" s="95">
        <f>F30+F59</f>
        <v>2286.5397600000001</v>
      </c>
    </row>
    <row r="65" spans="1:6" x14ac:dyDescent="0.25">
      <c r="A65" t="s">
        <v>466</v>
      </c>
      <c r="B65">
        <f>B37*'04_Assumptions'!B38+B45*'04_Assumptions'!B43+B53*'04_Assumptions'!B48</f>
        <v>0</v>
      </c>
      <c r="C65">
        <f>C37*'04_Assumptions'!C38+C45*'04_Assumptions'!C43+C53*'04_Assumptions'!C48</f>
        <v>0</v>
      </c>
      <c r="D65">
        <f>D37*'04_Assumptions'!D38+D45*'04_Assumptions'!D43+D53*'04_Assumptions'!D48</f>
        <v>81500</v>
      </c>
      <c r="E65">
        <f>E37*'04_Assumptions'!E38+E45*'04_Assumptions'!E43+E53*'04_Assumptions'!E48</f>
        <v>282525</v>
      </c>
      <c r="F65">
        <f>F37*'04_Assumptions'!F38+F45*'04_Assumptions'!F43+F53*'04_Assumptions'!F48</f>
        <v>631012.5</v>
      </c>
    </row>
    <row r="66" spans="1:6" x14ac:dyDescent="0.25">
      <c r="A66" t="s">
        <v>467</v>
      </c>
      <c r="B66" t="s">
        <v>262</v>
      </c>
      <c r="C66" s="35" t="str">
        <f>IF(B62=0,"-",(C62-B62)/B62)</f>
        <v>-</v>
      </c>
      <c r="D66" s="35">
        <f>IF(C62=0,"-",(D62-C62)/C62)</f>
        <v>12.685771098868861</v>
      </c>
      <c r="E66" s="35">
        <f>(E62-D62)/D62</f>
        <v>2.6358321439868297</v>
      </c>
      <c r="F66" s="35">
        <f>(F62-E62)/E62</f>
        <v>1.3004830020165257</v>
      </c>
    </row>
    <row r="68" spans="1:6" x14ac:dyDescent="0.25">
      <c r="A68" s="85" t="s">
        <v>468</v>
      </c>
      <c r="B68" s="86"/>
      <c r="C68" s="86"/>
      <c r="D68" s="86"/>
      <c r="E68" s="86"/>
      <c r="F68" s="86"/>
    </row>
    <row r="69" spans="1:6" x14ac:dyDescent="0.25">
      <c r="A69" t="s">
        <v>469</v>
      </c>
      <c r="B69" s="35">
        <f>IF($B$62=0,0,B29/$B$62)</f>
        <v>0</v>
      </c>
      <c r="C69" s="35">
        <f>IF($C$62=0,0,C29/$C$62)</f>
        <v>1</v>
      </c>
      <c r="D69" s="35">
        <f>IF($D$62=0,0,D29/$D$62)</f>
        <v>0.50873955312329699</v>
      </c>
      <c r="E69" s="35">
        <f>IF($E$62=0,0,E29/$E$62)</f>
        <v>0.38243629328592171</v>
      </c>
      <c r="F69" s="35">
        <f>IF($F$62=0,0,F29/$F$62)</f>
        <v>0.32907537736376496</v>
      </c>
    </row>
    <row r="70" spans="1:6" x14ac:dyDescent="0.25">
      <c r="A70" t="s">
        <v>470</v>
      </c>
      <c r="B70" s="35">
        <f>IF($B$62=0,0,B58/$B$62)</f>
        <v>0</v>
      </c>
      <c r="C70" s="35">
        <f>IF($C$62=0,0,C58/$C$62)</f>
        <v>0</v>
      </c>
      <c r="D70" s="35">
        <f>IF($D$62=0,0,D58/$D$62)</f>
        <v>0.49126044687670301</v>
      </c>
      <c r="E70" s="35">
        <f>IF($E$62=0,0,E58/$E$62)</f>
        <v>0.61756370671407823</v>
      </c>
      <c r="F70" s="35">
        <f>IF($F$62=0,0,F58/$F$62)</f>
        <v>0.67092462263623498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workbookViewId="0">
      <selection activeCell="D11" sqref="D11"/>
    </sheetView>
  </sheetViews>
  <sheetFormatPr defaultRowHeight="15" x14ac:dyDescent="0.25"/>
  <cols>
    <col min="1" max="1" width="30" customWidth="1"/>
    <col min="2" max="6" width="15" customWidth="1"/>
  </cols>
  <sheetData>
    <row r="1" spans="1:6" ht="18.75" x14ac:dyDescent="0.3">
      <c r="A1" s="96" t="s">
        <v>153</v>
      </c>
      <c r="B1" s="66"/>
      <c r="C1" s="66"/>
      <c r="D1" s="66"/>
      <c r="E1" s="66"/>
      <c r="F1" s="66"/>
    </row>
    <row r="3" spans="1:6" x14ac:dyDescent="0.25">
      <c r="A3" s="32" t="s">
        <v>154</v>
      </c>
      <c r="B3" s="13">
        <v>2026</v>
      </c>
      <c r="C3" s="13">
        <v>2027</v>
      </c>
      <c r="D3" s="13">
        <v>2028</v>
      </c>
      <c r="E3" s="13">
        <v>2029</v>
      </c>
      <c r="F3" s="13">
        <v>2030</v>
      </c>
    </row>
    <row r="5" spans="1:6" x14ac:dyDescent="0.25">
      <c r="A5" s="68" t="s">
        <v>471</v>
      </c>
      <c r="B5" s="97">
        <f>'05_Revenue_Model'!B9*'04_Assumptions'!B19</f>
        <v>0</v>
      </c>
      <c r="C5" s="97">
        <f>'05_Revenue_Model'!C9*'04_Assumptions'!C19</f>
        <v>2730</v>
      </c>
      <c r="D5" s="97">
        <f>'05_Revenue_Model'!D9*'04_Assumptions'!D19</f>
        <v>20939.800000000003</v>
      </c>
      <c r="E5" s="97">
        <f>'05_Revenue_Model'!E9*'04_Assumptions'!E19</f>
        <v>56884.210000000006</v>
      </c>
      <c r="F5" s="97">
        <f>'05_Revenue_Model'!F9*'04_Assumptions'!F19</f>
        <v>108891.88800000002</v>
      </c>
    </row>
    <row r="6" spans="1:6" x14ac:dyDescent="0.25">
      <c r="A6" t="s">
        <v>155</v>
      </c>
      <c r="B6" s="112">
        <f>'05_Revenue_Model'!B9*'04_Assumptions'!B19</f>
        <v>0</v>
      </c>
      <c r="C6" s="112">
        <f>'05_Revenue_Model'!C9*'04_Assumptions'!C19</f>
        <v>2730</v>
      </c>
      <c r="D6" s="112">
        <f>'05_Revenue_Model'!D9*'04_Assumptions'!D19</f>
        <v>20939.800000000003</v>
      </c>
      <c r="E6" s="112">
        <f>'05_Revenue_Model'!E9*'04_Assumptions'!E19</f>
        <v>56884.210000000006</v>
      </c>
      <c r="F6" s="112">
        <f>'05_Revenue_Model'!F9*'04_Assumptions'!F19</f>
        <v>108891.88800000002</v>
      </c>
    </row>
    <row r="7" spans="1:6" x14ac:dyDescent="0.25">
      <c r="A7" t="s">
        <v>156</v>
      </c>
      <c r="B7" s="112">
        <f>'05_Revenue_Model'!B17*'04_Assumptions'!B20</f>
        <v>0</v>
      </c>
      <c r="C7" s="112">
        <f>'05_Revenue_Model'!C17*'04_Assumptions'!C20</f>
        <v>655.19999999999993</v>
      </c>
      <c r="D7" s="112">
        <f>'05_Revenue_Model'!D17*'04_Assumptions'!D20</f>
        <v>5384.5199999999995</v>
      </c>
      <c r="E7" s="112">
        <f>'05_Revenue_Model'!E17*'04_Assumptions'!E20</f>
        <v>16461.423999999999</v>
      </c>
      <c r="F7" s="112">
        <f>'05_Revenue_Model'!F17*'04_Assumptions'!F20</f>
        <v>35607.566399999996</v>
      </c>
    </row>
    <row r="8" spans="1:6" x14ac:dyDescent="0.25">
      <c r="A8" s="18" t="s">
        <v>157</v>
      </c>
      <c r="B8" s="113">
        <f>'05_Revenue_Model'!B25*'04_Assumptions'!B21</f>
        <v>0</v>
      </c>
      <c r="C8" s="113">
        <f>'05_Revenue_Model'!C25*'04_Assumptions'!C21</f>
        <v>3552</v>
      </c>
      <c r="D8" s="113">
        <f>'05_Revenue_Model'!D25*'04_Assumptions'!D21</f>
        <v>22795.200000000004</v>
      </c>
      <c r="E8" s="113">
        <f>'05_Revenue_Model'!E25*'04_Assumptions'!E21</f>
        <v>69354.240000000005</v>
      </c>
      <c r="F8" s="113">
        <f>'05_Revenue_Model'!F25*'04_Assumptions'!F21</f>
        <v>151289.66399999999</v>
      </c>
    </row>
    <row r="9" spans="1:6" s="109" customFormat="1" x14ac:dyDescent="0.25">
      <c r="A9" s="18" t="s">
        <v>472</v>
      </c>
      <c r="B9" s="110">
        <f>SUM(B6:B8)</f>
        <v>0</v>
      </c>
      <c r="C9" s="110">
        <f>SUM(C6:C8)</f>
        <v>6937.2</v>
      </c>
      <c r="D9" s="110">
        <f>SUM(D6:D8)</f>
        <v>49119.520000000004</v>
      </c>
      <c r="E9" s="110">
        <f>SUM(E6:E8)</f>
        <v>142699.87400000001</v>
      </c>
      <c r="F9" s="110">
        <f>SUM(F6:F8)</f>
        <v>295789.11840000004</v>
      </c>
    </row>
    <row r="10" spans="1:6" x14ac:dyDescent="0.25">
      <c r="A10" t="s">
        <v>128</v>
      </c>
      <c r="B10" s="19">
        <f>'04_Assumptions'!B18</f>
        <v>3.4939999999999998</v>
      </c>
      <c r="C10" s="19">
        <f>'04_Assumptions'!C18</f>
        <v>3.4939999999999998</v>
      </c>
      <c r="D10" s="19">
        <f>'04_Assumptions'!D18</f>
        <v>3.3192999999999997</v>
      </c>
      <c r="E10" s="19">
        <f>'04_Assumptions'!E18</f>
        <v>3.1446000000000001</v>
      </c>
      <c r="F10" s="19">
        <f>'04_Assumptions'!F18</f>
        <v>2.9698999999999995</v>
      </c>
    </row>
    <row r="11" spans="1:6" x14ac:dyDescent="0.25">
      <c r="A11" s="98" t="s">
        <v>473</v>
      </c>
      <c r="B11" s="99">
        <f>B8*B10</f>
        <v>0</v>
      </c>
      <c r="C11" s="99">
        <f>C8*C10</f>
        <v>12410.687999999998</v>
      </c>
      <c r="D11" s="99">
        <f>D8*D10</f>
        <v>75664.107360000009</v>
      </c>
      <c r="E11" s="99">
        <f>E8*E10</f>
        <v>218091.34310400003</v>
      </c>
      <c r="F11" s="99">
        <f>F8*F10</f>
        <v>449315.17311359989</v>
      </c>
    </row>
    <row r="12" spans="1:6" x14ac:dyDescent="0.25">
      <c r="A12" t="s">
        <v>474</v>
      </c>
      <c r="B12">
        <f>'05_Revenue_Model'!B37*'04_Assumptions'!B38</f>
        <v>0</v>
      </c>
      <c r="C12">
        <f>'05_Revenue_Model'!C37*'04_Assumptions'!C38</f>
        <v>0</v>
      </c>
      <c r="D12">
        <f>'05_Revenue_Model'!D37*'04_Assumptions'!D38</f>
        <v>52500</v>
      </c>
      <c r="E12">
        <f>'05_Revenue_Model'!E37*'04_Assumptions'!E38</f>
        <v>184300</v>
      </c>
      <c r="F12">
        <f>'05_Revenue_Model'!F37*'04_Assumptions'!F38</f>
        <v>414600</v>
      </c>
    </row>
    <row r="13" spans="1:6" x14ac:dyDescent="0.25">
      <c r="A13" t="s">
        <v>475</v>
      </c>
      <c r="B13" s="9">
        <f>'05_Revenue_Model'!B45*'04_Assumptions'!B43</f>
        <v>0</v>
      </c>
      <c r="C13" s="9">
        <f>'05_Revenue_Model'!C45*'04_Assumptions'!C43</f>
        <v>0</v>
      </c>
      <c r="D13" s="9">
        <f>'05_Revenue_Model'!D45*'04_Assumptions'!D43</f>
        <v>25000</v>
      </c>
      <c r="E13" s="9">
        <f>'05_Revenue_Model'!E45*'04_Assumptions'!E43</f>
        <v>83375</v>
      </c>
      <c r="F13" s="9">
        <f>'05_Revenue_Model'!F45*'04_Assumptions'!F43</f>
        <v>181562.5</v>
      </c>
    </row>
    <row r="14" spans="1:6" x14ac:dyDescent="0.25">
      <c r="A14" s="18" t="s">
        <v>476</v>
      </c>
      <c r="B14" s="20">
        <f>'05_Revenue_Model'!B53*'04_Assumptions'!B48</f>
        <v>0</v>
      </c>
      <c r="C14" s="20">
        <f>'05_Revenue_Model'!C53*'04_Assumptions'!C48</f>
        <v>0</v>
      </c>
      <c r="D14" s="20">
        <f>'05_Revenue_Model'!D53*'04_Assumptions'!D48</f>
        <v>4000</v>
      </c>
      <c r="E14" s="20">
        <f>'05_Revenue_Model'!E53*'04_Assumptions'!E48</f>
        <v>14850</v>
      </c>
      <c r="F14" s="20">
        <f>'05_Revenue_Model'!F53*'04_Assumptions'!F48</f>
        <v>34850</v>
      </c>
    </row>
    <row r="15" spans="1:6" s="109" customFormat="1" x14ac:dyDescent="0.25">
      <c r="A15" s="18" t="s">
        <v>477</v>
      </c>
      <c r="B15" s="108">
        <f>SUM(B12:B14)</f>
        <v>0</v>
      </c>
      <c r="C15" s="108">
        <f>SUM(C12:C14)</f>
        <v>0</v>
      </c>
      <c r="D15" s="108">
        <f>SUM(D12:D14)</f>
        <v>81500</v>
      </c>
      <c r="E15" s="108">
        <f>SUM(E12:E14)</f>
        <v>282525</v>
      </c>
      <c r="F15" s="108">
        <f>SUM(F12:F14)</f>
        <v>631012.5</v>
      </c>
    </row>
    <row r="17" spans="1:6" x14ac:dyDescent="0.25">
      <c r="A17" s="74" t="s">
        <v>158</v>
      </c>
      <c r="B17" s="111">
        <f>B9+B15</f>
        <v>0</v>
      </c>
      <c r="C17" s="111">
        <f>C9+C15</f>
        <v>6937.2</v>
      </c>
      <c r="D17" s="111">
        <f>D9+D15</f>
        <v>130619.52</v>
      </c>
      <c r="E17" s="111">
        <f>E9+E15</f>
        <v>425224.87400000001</v>
      </c>
      <c r="F17" s="111">
        <f>F9+F15</f>
        <v>926801.61840000004</v>
      </c>
    </row>
    <row r="19" spans="1:6" x14ac:dyDescent="0.25">
      <c r="A19" s="32" t="s">
        <v>128</v>
      </c>
      <c r="B19" s="101">
        <f>'04_Assumptions'!B18</f>
        <v>3.4939999999999998</v>
      </c>
      <c r="C19" s="101">
        <f>'04_Assumptions'!C18</f>
        <v>3.4939999999999998</v>
      </c>
      <c r="D19" s="101">
        <f>'04_Assumptions'!D18</f>
        <v>3.3192999999999997</v>
      </c>
      <c r="E19" s="101">
        <f>'04_Assumptions'!E18</f>
        <v>3.1446000000000001</v>
      </c>
      <c r="F19" s="101">
        <f>'04_Assumptions'!F18</f>
        <v>2.9698999999999995</v>
      </c>
    </row>
    <row r="20" spans="1:6" x14ac:dyDescent="0.25">
      <c r="A20" s="78" t="s">
        <v>159</v>
      </c>
      <c r="B20" s="102">
        <f>B17*B19</f>
        <v>0</v>
      </c>
      <c r="C20" s="102">
        <f>C17*C19</f>
        <v>24238.576799999999</v>
      </c>
      <c r="D20" s="102">
        <f>D17*D19</f>
        <v>433565.37273599999</v>
      </c>
      <c r="E20" s="102">
        <f>E17*E19</f>
        <v>1337162.1387804002</v>
      </c>
      <c r="F20" s="102">
        <f>F17*F19</f>
        <v>2752508.1264861599</v>
      </c>
    </row>
    <row r="22" spans="1:6" x14ac:dyDescent="0.25">
      <c r="A22" s="83" t="s">
        <v>160</v>
      </c>
      <c r="B22" s="103">
        <f>'05_Revenue_Model'!B62</f>
        <v>0</v>
      </c>
      <c r="C22" s="103">
        <f>'05_Revenue_Model'!C62</f>
        <v>61354</v>
      </c>
      <c r="D22" s="103">
        <f>'05_Revenue_Model'!D62</f>
        <v>839676.8</v>
      </c>
      <c r="E22" s="103">
        <f>'05_Revenue_Model'!E62</f>
        <v>3052923.9000000004</v>
      </c>
      <c r="F22" s="103">
        <f>'05_Revenue_Model'!F62</f>
        <v>7023199.5384</v>
      </c>
    </row>
    <row r="23" spans="1:6" x14ac:dyDescent="0.25">
      <c r="A23" s="32" t="s">
        <v>48</v>
      </c>
      <c r="B23" s="95">
        <f>B22-B20</f>
        <v>0</v>
      </c>
      <c r="C23" s="95">
        <f>C22-C20</f>
        <v>37115.423200000005</v>
      </c>
      <c r="D23" s="95">
        <f>D22-D20</f>
        <v>406111.42726400006</v>
      </c>
      <c r="E23" s="95">
        <f>E22-E20</f>
        <v>1715761.7612196002</v>
      </c>
      <c r="F23" s="95">
        <f>F22-F20</f>
        <v>4270691.4119138401</v>
      </c>
    </row>
    <row r="24" spans="1:6" x14ac:dyDescent="0.25">
      <c r="A24" s="32" t="s">
        <v>49</v>
      </c>
      <c r="B24" s="100">
        <f>IF(B22=0,0,B23/B22)</f>
        <v>0</v>
      </c>
      <c r="C24" s="100">
        <f>IF(C22=0,0,C23/C22)</f>
        <v>0.6049389314470125</v>
      </c>
      <c r="D24" s="100">
        <f>IF(D22=0,0,D23/D22)</f>
        <v>0.48365207573199598</v>
      </c>
      <c r="E24" s="100">
        <f>IF(E22=0,0,E23/E22)</f>
        <v>0.56200606940107478</v>
      </c>
      <c r="F24" s="100">
        <f>IF(F22=0,0,F23/F22)</f>
        <v>0.608083450934782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selection activeCell="B5" sqref="B5:F8"/>
    </sheetView>
  </sheetViews>
  <sheetFormatPr defaultRowHeight="15" x14ac:dyDescent="0.25"/>
  <cols>
    <col min="1" max="1" width="30" customWidth="1"/>
    <col min="2" max="6" width="15" customWidth="1"/>
  </cols>
  <sheetData>
    <row r="1" spans="1:6" ht="18.75" x14ac:dyDescent="0.3">
      <c r="A1" s="3" t="s">
        <v>161</v>
      </c>
    </row>
    <row r="3" spans="1:6" x14ac:dyDescent="0.25">
      <c r="A3" t="s">
        <v>162</v>
      </c>
      <c r="B3" s="13">
        <v>2026</v>
      </c>
      <c r="C3" s="13">
        <v>2027</v>
      </c>
      <c r="D3" s="13">
        <v>2028</v>
      </c>
      <c r="E3" s="13">
        <v>2029</v>
      </c>
      <c r="F3" s="13">
        <v>2030</v>
      </c>
    </row>
    <row r="5" spans="1:6" x14ac:dyDescent="0.25">
      <c r="A5" t="s">
        <v>163</v>
      </c>
      <c r="B5" s="9">
        <f>'04_Assumptions'!B24</f>
        <v>100000</v>
      </c>
      <c r="C5" s="9">
        <f>'04_Assumptions'!C24</f>
        <v>300000</v>
      </c>
      <c r="D5" s="9">
        <f>'04_Assumptions'!D24</f>
        <v>400000</v>
      </c>
      <c r="E5" s="9">
        <f>'04_Assumptions'!E24</f>
        <v>500000</v>
      </c>
      <c r="F5" s="9">
        <f>'04_Assumptions'!F24</f>
        <v>600000</v>
      </c>
    </row>
    <row r="6" spans="1:6" x14ac:dyDescent="0.25">
      <c r="A6" t="s">
        <v>164</v>
      </c>
      <c r="B6" s="9">
        <f>'04_Assumptions'!B25</f>
        <v>50000</v>
      </c>
      <c r="C6" s="9">
        <f>'04_Assumptions'!C25</f>
        <v>100000</v>
      </c>
      <c r="D6" s="9">
        <f>'04_Assumptions'!D25</f>
        <v>80000</v>
      </c>
      <c r="E6" s="9">
        <f>'04_Assumptions'!E25</f>
        <v>60000</v>
      </c>
      <c r="F6" s="9">
        <f>'04_Assumptions'!F25</f>
        <v>50000</v>
      </c>
    </row>
    <row r="7" spans="1:6" x14ac:dyDescent="0.25">
      <c r="A7" t="s">
        <v>165</v>
      </c>
      <c r="B7" s="9">
        <f>'04_Assumptions'!B26</f>
        <v>20000</v>
      </c>
      <c r="C7" s="9">
        <f>'04_Assumptions'!C26</f>
        <v>120000</v>
      </c>
      <c r="D7" s="9">
        <f>'04_Assumptions'!D26</f>
        <v>200000</v>
      </c>
      <c r="E7" s="9">
        <f>'04_Assumptions'!E26</f>
        <v>250000</v>
      </c>
      <c r="F7" s="9">
        <f>'04_Assumptions'!F26</f>
        <v>300000</v>
      </c>
    </row>
    <row r="8" spans="1:6" x14ac:dyDescent="0.25">
      <c r="A8" t="s">
        <v>166</v>
      </c>
      <c r="B8" s="9">
        <f>'04_Assumptions'!B27</f>
        <v>30000</v>
      </c>
      <c r="C8" s="9">
        <f>'04_Assumptions'!C27</f>
        <v>80000</v>
      </c>
      <c r="D8" s="9">
        <f>'04_Assumptions'!D27</f>
        <v>120000</v>
      </c>
      <c r="E8" s="9">
        <f>'04_Assumptions'!E27</f>
        <v>150000</v>
      </c>
      <c r="F8" s="9">
        <f>'04_Assumptions'!F27</f>
        <v>180000</v>
      </c>
    </row>
    <row r="9" spans="1:6" x14ac:dyDescent="0.25">
      <c r="A9" s="18" t="s">
        <v>167</v>
      </c>
      <c r="B9" s="17">
        <f>SUM(B5:B8)</f>
        <v>200000</v>
      </c>
      <c r="C9" s="17">
        <f>SUM(C5:C8)</f>
        <v>600000</v>
      </c>
      <c r="D9" s="17">
        <f>SUM(D5:D8)</f>
        <v>800000</v>
      </c>
      <c r="E9" s="17">
        <f>SUM(E5:E8)</f>
        <v>960000</v>
      </c>
      <c r="F9" s="17">
        <f>SUM(F5:F8)</f>
        <v>1130000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"/>
  <sheetViews>
    <sheetView workbookViewId="0">
      <selection activeCell="D5" sqref="D5"/>
    </sheetView>
  </sheetViews>
  <sheetFormatPr defaultRowHeight="15" x14ac:dyDescent="0.25"/>
  <cols>
    <col min="1" max="1" width="30" customWidth="1"/>
    <col min="2" max="6" width="15" customWidth="1"/>
  </cols>
  <sheetData>
    <row r="1" spans="1:6" ht="18.75" x14ac:dyDescent="0.3">
      <c r="A1" s="96" t="s">
        <v>168</v>
      </c>
      <c r="B1" s="66"/>
      <c r="C1" s="66"/>
      <c r="D1" s="66"/>
      <c r="E1" s="66"/>
      <c r="F1" s="66"/>
    </row>
    <row r="3" spans="1:6" x14ac:dyDescent="0.25">
      <c r="A3" s="32" t="s">
        <v>169</v>
      </c>
      <c r="B3" s="13">
        <v>2026</v>
      </c>
      <c r="C3" s="13">
        <v>2027</v>
      </c>
      <c r="D3" s="13">
        <v>2028</v>
      </c>
      <c r="E3" s="13">
        <v>2029</v>
      </c>
      <c r="F3" s="13">
        <v>2030</v>
      </c>
    </row>
    <row r="5" spans="1:6" x14ac:dyDescent="0.25">
      <c r="A5" s="18" t="s">
        <v>170</v>
      </c>
      <c r="B5" s="9">
        <f>'05_Revenue_Model'!B62</f>
        <v>0</v>
      </c>
      <c r="C5" s="9">
        <f>'05_Revenue_Model'!C62</f>
        <v>61354</v>
      </c>
      <c r="D5" s="9">
        <f>'05_Revenue_Model'!D62</f>
        <v>839676.8</v>
      </c>
      <c r="E5" s="9">
        <f>'05_Revenue_Model'!E62</f>
        <v>3052923.9000000004</v>
      </c>
      <c r="F5" s="9">
        <f>'05_Revenue_Model'!F62</f>
        <v>7023199.5384</v>
      </c>
    </row>
    <row r="6" spans="1:6" x14ac:dyDescent="0.25">
      <c r="A6" t="s">
        <v>171</v>
      </c>
      <c r="B6" s="9">
        <f>-'06_COGS'!B20</f>
        <v>0</v>
      </c>
      <c r="C6" s="9">
        <f>-'06_COGS'!C20</f>
        <v>-24238.576799999999</v>
      </c>
      <c r="D6" s="9">
        <f>-'06_COGS'!D20</f>
        <v>-433565.37273599999</v>
      </c>
      <c r="E6" s="9">
        <f>-'06_COGS'!E20</f>
        <v>-1337162.1387804002</v>
      </c>
      <c r="F6" s="9">
        <f>-'06_COGS'!F20</f>
        <v>-2752508.1264861599</v>
      </c>
    </row>
    <row r="7" spans="1:6" x14ac:dyDescent="0.25">
      <c r="A7" s="98" t="s">
        <v>172</v>
      </c>
      <c r="B7" s="99">
        <f>B5+B6</f>
        <v>0</v>
      </c>
      <c r="C7" s="99">
        <f>C5+C6</f>
        <v>37115.423200000005</v>
      </c>
      <c r="D7" s="99">
        <f>D5+D6</f>
        <v>406111.42726400006</v>
      </c>
      <c r="E7" s="99">
        <f>E5+E6</f>
        <v>1715761.7612196002</v>
      </c>
      <c r="F7" s="99">
        <f>F5+F6</f>
        <v>4270691.4119138401</v>
      </c>
    </row>
    <row r="8" spans="1:6" x14ac:dyDescent="0.25">
      <c r="A8" s="83" t="s">
        <v>49</v>
      </c>
      <c r="B8" s="104">
        <f>IF(B5=0,0,B7/B5)</f>
        <v>0</v>
      </c>
      <c r="C8" s="104">
        <f>IF(C5=0,0,C7/C5)</f>
        <v>0.6049389314470125</v>
      </c>
      <c r="D8" s="104">
        <f>IF(D5=0,0,D7/D5)</f>
        <v>0.48365207573199598</v>
      </c>
      <c r="E8" s="104">
        <f>IF(E5=0,0,E7/E5)</f>
        <v>0.56200606940107478</v>
      </c>
      <c r="F8" s="104">
        <f>IF(F5=0,0,F7/F5)</f>
        <v>0.608083450934782</v>
      </c>
    </row>
    <row r="10" spans="1:6" x14ac:dyDescent="0.25">
      <c r="A10" s="105" t="s">
        <v>161</v>
      </c>
      <c r="B10" s="79"/>
      <c r="C10" s="79"/>
      <c r="D10" s="79"/>
      <c r="E10" s="79"/>
      <c r="F10" s="79"/>
    </row>
    <row r="11" spans="1:6" x14ac:dyDescent="0.25">
      <c r="A11" t="s">
        <v>163</v>
      </c>
      <c r="B11" s="9">
        <f>-'04_Assumptions'!B24</f>
        <v>-100000</v>
      </c>
      <c r="C11" s="9">
        <f>-'04_Assumptions'!C24</f>
        <v>-300000</v>
      </c>
      <c r="D11" s="9">
        <f>-'04_Assumptions'!D24</f>
        <v>-400000</v>
      </c>
      <c r="E11" s="9">
        <f>-'04_Assumptions'!E24</f>
        <v>-500000</v>
      </c>
      <c r="F11" s="9">
        <f>-'04_Assumptions'!F24</f>
        <v>-600000</v>
      </c>
    </row>
    <row r="12" spans="1:6" x14ac:dyDescent="0.25">
      <c r="A12" t="s">
        <v>164</v>
      </c>
      <c r="B12" s="9">
        <f>-'04_Assumptions'!B25</f>
        <v>-50000</v>
      </c>
      <c r="C12" s="9">
        <f>-'04_Assumptions'!C25</f>
        <v>-100000</v>
      </c>
      <c r="D12" s="9">
        <f>-'04_Assumptions'!D25</f>
        <v>-80000</v>
      </c>
      <c r="E12" s="9">
        <f>-'04_Assumptions'!E25</f>
        <v>-60000</v>
      </c>
      <c r="F12" s="9">
        <f>-'04_Assumptions'!F25</f>
        <v>-50000</v>
      </c>
    </row>
    <row r="13" spans="1:6" x14ac:dyDescent="0.25">
      <c r="A13" t="s">
        <v>165</v>
      </c>
      <c r="B13" s="9">
        <f>-'04_Assumptions'!B26</f>
        <v>-20000</v>
      </c>
      <c r="C13" s="9">
        <f>-'04_Assumptions'!C26</f>
        <v>-120000</v>
      </c>
      <c r="D13" s="9">
        <f>-'04_Assumptions'!D26</f>
        <v>-200000</v>
      </c>
      <c r="E13" s="9">
        <f>-'04_Assumptions'!E26</f>
        <v>-250000</v>
      </c>
      <c r="F13" s="9">
        <f>-'04_Assumptions'!F26</f>
        <v>-300000</v>
      </c>
    </row>
    <row r="14" spans="1:6" x14ac:dyDescent="0.25">
      <c r="A14" t="s">
        <v>166</v>
      </c>
      <c r="B14" s="9">
        <f>-'04_Assumptions'!B27</f>
        <v>-30000</v>
      </c>
      <c r="C14" s="9">
        <f>-'04_Assumptions'!C27</f>
        <v>-80000</v>
      </c>
      <c r="D14" s="9">
        <f>-'04_Assumptions'!D27</f>
        <v>-120000</v>
      </c>
      <c r="E14" s="9">
        <f>-'04_Assumptions'!E27</f>
        <v>-150000</v>
      </c>
      <c r="F14" s="9">
        <f>-'04_Assumptions'!F27</f>
        <v>-180000</v>
      </c>
    </row>
    <row r="15" spans="1:6" x14ac:dyDescent="0.25">
      <c r="A15" s="18" t="s">
        <v>173</v>
      </c>
      <c r="B15" s="22">
        <f>SUM(B11:B14)</f>
        <v>-200000</v>
      </c>
      <c r="C15" s="22">
        <f>SUM(C11:C14)</f>
        <v>-600000</v>
      </c>
      <c r="D15" s="22">
        <f>SUM(D11:D14)</f>
        <v>-800000</v>
      </c>
      <c r="E15" s="22">
        <f>SUM(E11:E14)</f>
        <v>-960000</v>
      </c>
      <c r="F15" s="22">
        <f>SUM(F11:F14)</f>
        <v>-1130000</v>
      </c>
    </row>
    <row r="17" spans="1:6" ht="15.75" x14ac:dyDescent="0.25">
      <c r="A17" s="106" t="s">
        <v>174</v>
      </c>
      <c r="B17" s="107">
        <f>B7+B15</f>
        <v>-200000</v>
      </c>
      <c r="C17" s="107">
        <f>C7+C15</f>
        <v>-562884.57680000004</v>
      </c>
      <c r="D17" s="107">
        <f>D7+D15</f>
        <v>-393888.57273599994</v>
      </c>
      <c r="E17" s="107">
        <f>E7+E15</f>
        <v>755761.76121960022</v>
      </c>
      <c r="F17" s="107">
        <f>F7+F15</f>
        <v>3140691.4119138401</v>
      </c>
    </row>
    <row r="18" spans="1:6" x14ac:dyDescent="0.25">
      <c r="A18" s="83" t="s">
        <v>51</v>
      </c>
      <c r="B18" s="104">
        <f>IF(B5=0,0,B17/B5)</f>
        <v>0</v>
      </c>
      <c r="C18" s="104">
        <f>IF(C5=0,0,C17/C5)</f>
        <v>-9.1743745607458358</v>
      </c>
      <c r="D18" s="104">
        <f>IF(D5=0,0,D17/D5)</f>
        <v>-0.46909545760464016</v>
      </c>
      <c r="E18" s="104">
        <f>IF(E5=0,0,E17/E5)</f>
        <v>0.24755342287424856</v>
      </c>
      <c r="F18" s="104">
        <f>IF(F5=0,0,F17/F5)</f>
        <v>0.44718812198654134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>
      <selection activeCell="J15" sqref="J15"/>
    </sheetView>
  </sheetViews>
  <sheetFormatPr defaultRowHeight="15" x14ac:dyDescent="0.25"/>
  <cols>
    <col min="1" max="1" width="30" customWidth="1"/>
    <col min="2" max="6" width="15" customWidth="1"/>
  </cols>
  <sheetData>
    <row r="1" spans="1:6" ht="18.75" x14ac:dyDescent="0.3">
      <c r="A1" s="3" t="s">
        <v>175</v>
      </c>
    </row>
    <row r="3" spans="1:6" x14ac:dyDescent="0.25">
      <c r="A3" t="s">
        <v>169</v>
      </c>
      <c r="B3" s="13">
        <v>2026</v>
      </c>
      <c r="C3" s="13">
        <v>2027</v>
      </c>
      <c r="D3" s="13">
        <v>2028</v>
      </c>
      <c r="E3" s="13">
        <v>2029</v>
      </c>
      <c r="F3" s="13">
        <v>2030</v>
      </c>
    </row>
    <row r="5" spans="1:6" x14ac:dyDescent="0.25">
      <c r="A5" s="18" t="s">
        <v>176</v>
      </c>
    </row>
    <row r="6" spans="1:6" x14ac:dyDescent="0.25">
      <c r="A6" t="s">
        <v>174</v>
      </c>
      <c r="B6" s="9">
        <f>'08_P&amp;L'!B17</f>
        <v>-200000</v>
      </c>
      <c r="C6" s="9">
        <f>'08_P&amp;L'!C17</f>
        <v>-562884.57680000004</v>
      </c>
      <c r="D6" s="9">
        <f>'08_P&amp;L'!D17</f>
        <v>-393888.57273599994</v>
      </c>
      <c r="E6" s="9">
        <f>'08_P&amp;L'!E17</f>
        <v>755761.76121960022</v>
      </c>
      <c r="F6" s="9">
        <f>'08_P&amp;L'!F17</f>
        <v>3140691.4119138401</v>
      </c>
    </row>
    <row r="7" spans="1:6" x14ac:dyDescent="0.25">
      <c r="A7" t="s">
        <v>177</v>
      </c>
      <c r="B7" s="9">
        <f>-('08_P&amp;L'!B5*60/365)</f>
        <v>0</v>
      </c>
      <c r="C7" s="9">
        <f>-('08_P&amp;L'!C5*60/365)</f>
        <v>-10085.589041095891</v>
      </c>
      <c r="D7" s="9">
        <f>-('08_P&amp;L'!D5*60/365)</f>
        <v>-138029.06301369864</v>
      </c>
      <c r="E7" s="9">
        <f>-('08_P&amp;L'!E5*60/365)</f>
        <v>-501850.50410958915</v>
      </c>
      <c r="F7" s="9">
        <f>-('08_P&amp;L'!F5*60/365)</f>
        <v>-1154498.5542575342</v>
      </c>
    </row>
    <row r="8" spans="1:6" x14ac:dyDescent="0.25">
      <c r="A8" s="18" t="s">
        <v>178</v>
      </c>
      <c r="B8" s="20">
        <f>B6+B7</f>
        <v>-200000</v>
      </c>
      <c r="C8" s="20">
        <f>C6+C7</f>
        <v>-572970.16584109596</v>
      </c>
      <c r="D8" s="20">
        <f>D6+D7</f>
        <v>-531917.63574969862</v>
      </c>
      <c r="E8" s="20">
        <f>E6+E7</f>
        <v>253911.25711001107</v>
      </c>
      <c r="F8" s="20">
        <f>F6+F7</f>
        <v>1986192.8576563059</v>
      </c>
    </row>
    <row r="10" spans="1:6" x14ac:dyDescent="0.25">
      <c r="A10" s="18" t="s">
        <v>179</v>
      </c>
    </row>
    <row r="11" spans="1:6" x14ac:dyDescent="0.25">
      <c r="A11" t="s">
        <v>180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</row>
    <row r="13" spans="1:6" x14ac:dyDescent="0.25">
      <c r="A13" s="18" t="s">
        <v>181</v>
      </c>
    </row>
    <row r="14" spans="1:6" x14ac:dyDescent="0.25">
      <c r="A14" t="s">
        <v>182</v>
      </c>
      <c r="B14" s="9">
        <f>'04_Assumptions'!B30</f>
        <v>200000</v>
      </c>
      <c r="C14" s="9">
        <f>'04_Assumptions'!C30</f>
        <v>1500000</v>
      </c>
      <c r="D14" s="9">
        <f>'04_Assumptions'!D30</f>
        <v>4000000</v>
      </c>
      <c r="E14" s="9">
        <f>'04_Assumptions'!E30</f>
        <v>0</v>
      </c>
      <c r="F14" s="9">
        <f>'04_Assumptions'!F30</f>
        <v>0</v>
      </c>
    </row>
    <row r="16" spans="1:6" x14ac:dyDescent="0.25">
      <c r="A16" s="18" t="s">
        <v>183</v>
      </c>
      <c r="B16" s="23">
        <f>B8+B11+B14</f>
        <v>0</v>
      </c>
      <c r="C16" s="23">
        <f t="shared" ref="C16:F16" si="0">C8+C11+C14</f>
        <v>927029.83415890404</v>
      </c>
      <c r="D16" s="23">
        <f t="shared" si="0"/>
        <v>3468082.3642503014</v>
      </c>
      <c r="E16" s="23">
        <f t="shared" si="0"/>
        <v>253911.25711001107</v>
      </c>
      <c r="F16" s="23">
        <f t="shared" si="0"/>
        <v>1986192.8576563059</v>
      </c>
    </row>
    <row r="18" spans="1:6" x14ac:dyDescent="0.25">
      <c r="A18" t="s">
        <v>184</v>
      </c>
      <c r="B18" s="8">
        <v>0</v>
      </c>
      <c r="C18" s="9">
        <f>B19</f>
        <v>0</v>
      </c>
      <c r="D18" s="9">
        <f>C19</f>
        <v>927029.83415890404</v>
      </c>
      <c r="E18" s="9">
        <f>D19</f>
        <v>4395112.1984092053</v>
      </c>
      <c r="F18" s="9">
        <f>E19</f>
        <v>4649023.4555192161</v>
      </c>
    </row>
    <row r="19" spans="1:6" x14ac:dyDescent="0.25">
      <c r="A19" s="18" t="s">
        <v>185</v>
      </c>
      <c r="B19" s="17">
        <f>B18+B16</f>
        <v>0</v>
      </c>
      <c r="C19" s="17">
        <f t="shared" ref="C19:F19" si="1">C18+C16</f>
        <v>927029.83415890404</v>
      </c>
      <c r="D19" s="17">
        <f t="shared" si="1"/>
        <v>4395112.1984092053</v>
      </c>
      <c r="E19" s="17">
        <f t="shared" si="1"/>
        <v>4649023.4555192161</v>
      </c>
      <c r="F19" s="17">
        <f t="shared" si="1"/>
        <v>6635216.3131755218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>
      <selection activeCell="B17" sqref="B17"/>
    </sheetView>
  </sheetViews>
  <sheetFormatPr defaultRowHeight="15" x14ac:dyDescent="0.25"/>
  <cols>
    <col min="1" max="1" width="30" customWidth="1"/>
    <col min="2" max="6" width="15" customWidth="1"/>
  </cols>
  <sheetData>
    <row r="1" spans="1:6" ht="18.75" x14ac:dyDescent="0.3">
      <c r="A1" s="3" t="s">
        <v>186</v>
      </c>
    </row>
    <row r="3" spans="1:6" x14ac:dyDescent="0.25">
      <c r="A3" t="s">
        <v>187</v>
      </c>
      <c r="B3" s="13">
        <v>2026</v>
      </c>
      <c r="C3" s="13">
        <v>2027</v>
      </c>
      <c r="D3" s="13">
        <v>2028</v>
      </c>
      <c r="E3" s="13">
        <v>2029</v>
      </c>
      <c r="F3" s="13">
        <v>2030</v>
      </c>
    </row>
    <row r="5" spans="1:6" x14ac:dyDescent="0.25">
      <c r="A5" s="24" t="s">
        <v>188</v>
      </c>
    </row>
    <row r="6" spans="1:6" x14ac:dyDescent="0.25">
      <c r="A6" t="s">
        <v>189</v>
      </c>
      <c r="B6" s="9">
        <f>IF('05_Revenue_Model'!B30=0,0,'05_Revenue_Model'!B29/'05_Revenue_Model'!B30)</f>
        <v>0</v>
      </c>
      <c r="C6" s="9">
        <f>IF('05_Revenue_Model'!C30=0,0,'05_Revenue_Model'!C29/'05_Revenue_Model'!C30)</f>
        <v>618.48790322580646</v>
      </c>
      <c r="D6" s="9">
        <f>IF('05_Revenue_Model'!D30=0,0,'05_Revenue_Model'!D29/'05_Revenue_Model'!D30)</f>
        <v>807.0903869407498</v>
      </c>
      <c r="E6" s="9">
        <f>IF('05_Revenue_Model'!E30=0,0,'05_Revenue_Model'!E29/'05_Revenue_Model'!E30)</f>
        <v>975.92422631466331</v>
      </c>
      <c r="F6" s="9">
        <f>IF('05_Revenue_Model'!F30=0,0,'05_Revenue_Model'!F29/'05_Revenue_Model'!F30)</f>
        <v>1153.9713676187359</v>
      </c>
    </row>
    <row r="7" spans="1:6" x14ac:dyDescent="0.25">
      <c r="A7" t="s">
        <v>190</v>
      </c>
      <c r="B7" s="9">
        <f>IF('05_Revenue_Model'!B30=0,0,'06_COGS'!B11/'05_Revenue_Model'!B30)</f>
        <v>0</v>
      </c>
      <c r="C7" s="9">
        <f>IF('05_Revenue_Model'!C30=0,0,'06_COGS'!C11/'05_Revenue_Model'!C30)</f>
        <v>125.10774193548384</v>
      </c>
      <c r="D7" s="9">
        <f>IF('05_Revenue_Model'!D30=0,0,'06_COGS'!D11/'05_Revenue_Model'!D30)</f>
        <v>142.95667200725515</v>
      </c>
      <c r="E7" s="9">
        <f>IF('05_Revenue_Model'!E30=0,0,'06_COGS'!E11/'05_Revenue_Model'!E30)</f>
        <v>182.29696870486279</v>
      </c>
      <c r="F7" s="9">
        <f>IF('05_Revenue_Model'!F30=0,0,'06_COGS'!F11/'05_Revenue_Model'!F30)</f>
        <v>224.34465268765896</v>
      </c>
    </row>
    <row r="8" spans="1:6" x14ac:dyDescent="0.25">
      <c r="A8" t="s">
        <v>191</v>
      </c>
      <c r="B8" s="9">
        <f>B6-B7</f>
        <v>0</v>
      </c>
      <c r="C8" s="9">
        <f>C6-C7</f>
        <v>493.38016129032263</v>
      </c>
      <c r="D8" s="9">
        <f>D6-D7</f>
        <v>664.13371493349462</v>
      </c>
      <c r="E8" s="9">
        <f>E6-E7</f>
        <v>793.62725760980049</v>
      </c>
      <c r="F8" s="9">
        <f>F6-F7</f>
        <v>929.626714931077</v>
      </c>
    </row>
    <row r="10" spans="1:6" x14ac:dyDescent="0.25">
      <c r="A10" s="24" t="s">
        <v>192</v>
      </c>
    </row>
    <row r="11" spans="1:6" x14ac:dyDescent="0.25">
      <c r="A11" t="s">
        <v>193</v>
      </c>
      <c r="B11" s="5">
        <f>'04_Assumptions'!B12+'04_Assumptions'!B13+'04_Assumptions'!B14</f>
        <v>10</v>
      </c>
      <c r="C11" s="5">
        <f>'04_Assumptions'!C12+'04_Assumptions'!C13+'04_Assumptions'!C14</f>
        <v>90</v>
      </c>
      <c r="D11" s="5">
        <f>'04_Assumptions'!D12+'04_Assumptions'!D13+'04_Assumptions'!D14</f>
        <v>440</v>
      </c>
      <c r="E11" s="5">
        <f>'04_Assumptions'!E12+'04_Assumptions'!E13+'04_Assumptions'!E14</f>
        <v>720</v>
      </c>
      <c r="F11" s="5">
        <f>'04_Assumptions'!F12+'04_Assumptions'!F13+'04_Assumptions'!F14</f>
        <v>950</v>
      </c>
    </row>
    <row r="12" spans="1:6" x14ac:dyDescent="0.25">
      <c r="A12" t="s">
        <v>194</v>
      </c>
      <c r="B12" s="5">
        <f>'05_Revenue_Model'!B8+'05_Revenue_Model'!B16+'05_Revenue_Model'!B24</f>
        <v>0</v>
      </c>
      <c r="C12" s="5">
        <f>'05_Revenue_Model'!C8+'05_Revenue_Model'!C16+'05_Revenue_Model'!C24</f>
        <v>0.8</v>
      </c>
      <c r="D12" s="5">
        <f>'05_Revenue_Model'!D8+'05_Revenue_Model'!D16+'05_Revenue_Model'!D24</f>
        <v>9.92</v>
      </c>
      <c r="E12" s="5">
        <f>'05_Revenue_Model'!E8+'05_Revenue_Model'!E16+'05_Revenue_Model'!E24</f>
        <v>52.928000000000011</v>
      </c>
      <c r="F12" s="5">
        <f>'05_Revenue_Model'!F8+'05_Revenue_Model'!F16+'05_Revenue_Model'!F24</f>
        <v>143.56224</v>
      </c>
    </row>
    <row r="13" spans="1:6" x14ac:dyDescent="0.25">
      <c r="A13" t="s">
        <v>195</v>
      </c>
      <c r="B13" s="5">
        <f>B11-B12</f>
        <v>10</v>
      </c>
      <c r="C13" s="5">
        <f>C11-C12</f>
        <v>89.2</v>
      </c>
      <c r="D13" s="5">
        <f>D11-D12</f>
        <v>430.08</v>
      </c>
      <c r="E13" s="5">
        <f>E11-E12</f>
        <v>667.072</v>
      </c>
      <c r="F13" s="5">
        <f>F11-F12</f>
        <v>806.43776000000003</v>
      </c>
    </row>
    <row r="14" spans="1:6" x14ac:dyDescent="0.25">
      <c r="A14" t="s">
        <v>196</v>
      </c>
      <c r="B14" s="5">
        <f>'05_Revenue_Model'!B30</f>
        <v>10</v>
      </c>
      <c r="C14" s="5">
        <f>'05_Revenue_Model'!C30</f>
        <v>99.2</v>
      </c>
      <c r="D14" s="5">
        <f>'05_Revenue_Model'!D30</f>
        <v>529.28</v>
      </c>
      <c r="E14" s="5">
        <f>'05_Revenue_Model'!E30</f>
        <v>1196.3520000000001</v>
      </c>
      <c r="F14" s="5">
        <f>'05_Revenue_Model'!F30</f>
        <v>2002.7897600000001</v>
      </c>
    </row>
    <row r="16" spans="1:6" x14ac:dyDescent="0.25">
      <c r="A16" s="24" t="s">
        <v>197</v>
      </c>
    </row>
    <row r="17" spans="1:6" x14ac:dyDescent="0.25">
      <c r="A17" t="s">
        <v>198</v>
      </c>
      <c r="B17" s="19">
        <f>IF('06_COGS'!B8=0,0,'05_Revenue_Model'!B29/'06_COGS'!B8)</f>
        <v>0</v>
      </c>
      <c r="C17" s="19">
        <f>IF('06_COGS'!C8=0,0,'05_Revenue_Model'!C29/'06_COGS'!C8)</f>
        <v>17.273085585585587</v>
      </c>
      <c r="D17" s="19">
        <f>IF('06_COGS'!D8=0,0,'05_Revenue_Model'!D29/'06_COGS'!D8)</f>
        <v>18.739769776093212</v>
      </c>
      <c r="E17" s="19">
        <f>IF('06_COGS'!E8=0,0,'05_Revenue_Model'!E29/'06_COGS'!E8)</f>
        <v>16.834571325415723</v>
      </c>
      <c r="F17" s="19">
        <f>IF('06_COGS'!F8=0,0,'05_Revenue_Model'!F29/'06_COGS'!F8)</f>
        <v>15.27640406683698</v>
      </c>
    </row>
    <row r="18" spans="1:6" x14ac:dyDescent="0.25">
      <c r="A18" t="s">
        <v>199</v>
      </c>
      <c r="B18" s="19">
        <f>'04_Assumptions'!B18</f>
        <v>3.4939999999999998</v>
      </c>
      <c r="C18" s="19">
        <f>'04_Assumptions'!C18</f>
        <v>3.4939999999999998</v>
      </c>
      <c r="D18" s="19">
        <f>'04_Assumptions'!D18</f>
        <v>3.3192999999999997</v>
      </c>
      <c r="E18" s="19">
        <f>'04_Assumptions'!E18</f>
        <v>3.1446000000000001</v>
      </c>
      <c r="F18" s="19">
        <f>'04_Assumptions'!F18</f>
        <v>2.9698999999999995</v>
      </c>
    </row>
    <row r="19" spans="1:6" x14ac:dyDescent="0.25">
      <c r="A19" t="s">
        <v>200</v>
      </c>
      <c r="B19" s="19">
        <f>B17-B18</f>
        <v>-3.4939999999999998</v>
      </c>
      <c r="C19" s="19">
        <f>C17-C18</f>
        <v>13.779085585585587</v>
      </c>
      <c r="D19" s="19">
        <f>D17-D18</f>
        <v>15.420469776093212</v>
      </c>
      <c r="E19" s="19">
        <f>E17-E18</f>
        <v>13.689971325415723</v>
      </c>
      <c r="F19" s="19">
        <f>F17-F18</f>
        <v>12.306504066836981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4"/>
  <sheetViews>
    <sheetView topLeftCell="A3" workbookViewId="0">
      <selection activeCell="F16" sqref="F16"/>
    </sheetView>
  </sheetViews>
  <sheetFormatPr defaultRowHeight="15" x14ac:dyDescent="0.25"/>
  <cols>
    <col min="1" max="6" width="18" customWidth="1"/>
  </cols>
  <sheetData>
    <row r="1" spans="1:6" ht="18.75" x14ac:dyDescent="0.3">
      <c r="A1" s="3" t="s">
        <v>201</v>
      </c>
    </row>
    <row r="3" spans="1:6" x14ac:dyDescent="0.25">
      <c r="A3" s="25" t="s">
        <v>55</v>
      </c>
      <c r="B3" s="25" t="s">
        <v>202</v>
      </c>
      <c r="C3" s="25" t="s">
        <v>203</v>
      </c>
      <c r="D3" s="25" t="s">
        <v>57</v>
      </c>
      <c r="E3" s="25" t="s">
        <v>204</v>
      </c>
      <c r="F3" s="25" t="s">
        <v>58</v>
      </c>
    </row>
    <row r="4" spans="1:6" x14ac:dyDescent="0.25">
      <c r="A4" t="s">
        <v>205</v>
      </c>
      <c r="B4">
        <v>2026</v>
      </c>
      <c r="C4" s="9">
        <f>'04_Assumptions'!B30</f>
        <v>200000</v>
      </c>
      <c r="D4" s="9">
        <f>'04_Assumptions'!B31</f>
        <v>2000000</v>
      </c>
      <c r="E4" s="9">
        <f>C4+D4</f>
        <v>2200000</v>
      </c>
      <c r="F4" s="21">
        <f>C4/E4</f>
        <v>9.0909090909090912E-2</v>
      </c>
    </row>
    <row r="5" spans="1:6" x14ac:dyDescent="0.25">
      <c r="A5" t="s">
        <v>206</v>
      </c>
      <c r="B5">
        <v>2027</v>
      </c>
      <c r="C5" s="9">
        <f>'04_Assumptions'!C30</f>
        <v>1500000</v>
      </c>
      <c r="D5" s="9">
        <f>'04_Assumptions'!C31</f>
        <v>7000000</v>
      </c>
      <c r="E5" s="9">
        <f>C5+D5</f>
        <v>8500000</v>
      </c>
      <c r="F5" s="21">
        <f>C5/E5</f>
        <v>0.17647058823529413</v>
      </c>
    </row>
    <row r="6" spans="1:6" x14ac:dyDescent="0.25">
      <c r="A6" t="s">
        <v>293</v>
      </c>
      <c r="B6">
        <v>2028</v>
      </c>
      <c r="C6" s="9">
        <f>'04_Assumptions'!D30</f>
        <v>4000000</v>
      </c>
      <c r="D6" s="9">
        <f>'04_Assumptions'!D31</f>
        <v>14000000</v>
      </c>
      <c r="E6" s="9">
        <f>C6+D6</f>
        <v>18000000</v>
      </c>
      <c r="F6" s="21">
        <f>C6/E6</f>
        <v>0.22222222222222221</v>
      </c>
    </row>
    <row r="8" spans="1:6" ht="15.75" x14ac:dyDescent="0.25">
      <c r="A8" s="56" t="s">
        <v>296</v>
      </c>
    </row>
    <row r="10" spans="1:6" x14ac:dyDescent="0.25">
      <c r="A10" s="25" t="s">
        <v>207</v>
      </c>
      <c r="B10" s="25" t="s">
        <v>208</v>
      </c>
      <c r="C10" s="25" t="s">
        <v>209</v>
      </c>
      <c r="D10" s="25" t="s">
        <v>294</v>
      </c>
    </row>
    <row r="11" spans="1:6" x14ac:dyDescent="0.25">
      <c r="A11" t="s">
        <v>210</v>
      </c>
      <c r="B11" s="21">
        <f>1-F4</f>
        <v>0.90909090909090906</v>
      </c>
      <c r="C11" s="21">
        <f>B11*(1-F5)</f>
        <v>0.74866310160427807</v>
      </c>
      <c r="D11" s="21">
        <f>C11*(1-F6)</f>
        <v>0.58229352346999408</v>
      </c>
    </row>
    <row r="12" spans="1:6" x14ac:dyDescent="0.25">
      <c r="A12" t="s">
        <v>211</v>
      </c>
      <c r="B12" s="21">
        <f>F4</f>
        <v>9.0909090909090912E-2</v>
      </c>
      <c r="C12" s="21">
        <f>B12*(1-F5)</f>
        <v>7.4866310160427801E-2</v>
      </c>
      <c r="D12" s="21">
        <f>C12*(1-F6)</f>
        <v>5.82293523469994E-2</v>
      </c>
    </row>
    <row r="13" spans="1:6" x14ac:dyDescent="0.25">
      <c r="A13" t="s">
        <v>212</v>
      </c>
      <c r="B13">
        <v>0</v>
      </c>
      <c r="C13" s="21">
        <f>F5</f>
        <v>0.17647058823529413</v>
      </c>
      <c r="D13" s="21">
        <f>C13*(1-F6)</f>
        <v>0.13725490196078433</v>
      </c>
    </row>
    <row r="14" spans="1:6" x14ac:dyDescent="0.25">
      <c r="A14" t="s">
        <v>295</v>
      </c>
      <c r="B14">
        <v>0</v>
      </c>
      <c r="C14">
        <v>0</v>
      </c>
      <c r="D14" s="21">
        <f>F6</f>
        <v>0.22222222222222221</v>
      </c>
    </row>
    <row r="15" spans="1:6" x14ac:dyDescent="0.25">
      <c r="A15" s="32" t="s">
        <v>213</v>
      </c>
      <c r="B15" s="55">
        <f>SUM(B11:B13)</f>
        <v>1</v>
      </c>
      <c r="C15" s="55">
        <f>SUM(C11:C13)</f>
        <v>1</v>
      </c>
      <c r="D15" s="55">
        <f>SUM(D11:D14)</f>
        <v>1</v>
      </c>
    </row>
    <row r="17" spans="1:4" ht="15.75" x14ac:dyDescent="0.25">
      <c r="A17" s="56" t="s">
        <v>297</v>
      </c>
    </row>
    <row r="19" spans="1:4" x14ac:dyDescent="0.25">
      <c r="A19" s="25" t="s">
        <v>207</v>
      </c>
      <c r="B19" s="25" t="s">
        <v>208</v>
      </c>
      <c r="C19" s="25" t="s">
        <v>209</v>
      </c>
      <c r="D19" s="25" t="s">
        <v>294</v>
      </c>
    </row>
    <row r="20" spans="1:4" x14ac:dyDescent="0.25">
      <c r="A20" t="s">
        <v>210</v>
      </c>
      <c r="B20" s="57">
        <f>B11*$E$4</f>
        <v>2000000</v>
      </c>
      <c r="C20" s="57">
        <f>C11*$E$5</f>
        <v>6363636.3636363633</v>
      </c>
      <c r="D20" s="57">
        <f>D11*$E$6</f>
        <v>10481283.422459893</v>
      </c>
    </row>
    <row r="21" spans="1:4" x14ac:dyDescent="0.25">
      <c r="A21" t="s">
        <v>211</v>
      </c>
      <c r="B21" s="57">
        <f t="shared" ref="B21:B23" si="0">B12*$E$4</f>
        <v>200000</v>
      </c>
      <c r="C21" s="57">
        <f t="shared" ref="C21:C23" si="1">C12*$E$5</f>
        <v>636363.63636363635</v>
      </c>
      <c r="D21" s="57">
        <f t="shared" ref="D21:D23" si="2">D12*$E$6</f>
        <v>1048128.3422459892</v>
      </c>
    </row>
    <row r="22" spans="1:4" x14ac:dyDescent="0.25">
      <c r="A22" t="s">
        <v>212</v>
      </c>
      <c r="B22" s="57">
        <f t="shared" si="0"/>
        <v>0</v>
      </c>
      <c r="C22" s="57">
        <f t="shared" si="1"/>
        <v>1500000</v>
      </c>
      <c r="D22" s="57">
        <f t="shared" si="2"/>
        <v>2470588.2352941181</v>
      </c>
    </row>
    <row r="23" spans="1:4" x14ac:dyDescent="0.25">
      <c r="A23" t="s">
        <v>295</v>
      </c>
      <c r="B23" s="57">
        <f t="shared" si="0"/>
        <v>0</v>
      </c>
      <c r="C23" s="57">
        <f t="shared" si="1"/>
        <v>0</v>
      </c>
      <c r="D23" s="57">
        <f t="shared" si="2"/>
        <v>4000000</v>
      </c>
    </row>
    <row r="24" spans="1:4" x14ac:dyDescent="0.25">
      <c r="A24" s="32" t="s">
        <v>213</v>
      </c>
      <c r="B24" s="58">
        <f>SUM(B20:B22)</f>
        <v>2200000</v>
      </c>
      <c r="C24" s="58">
        <f>SUM(C20:C22)</f>
        <v>8500000</v>
      </c>
      <c r="D24" s="58">
        <f>SUM(D20:D23)</f>
        <v>18000000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workbookViewId="0">
      <selection activeCell="B12" sqref="B12"/>
    </sheetView>
  </sheetViews>
  <sheetFormatPr defaultRowHeight="15" x14ac:dyDescent="0.25"/>
  <cols>
    <col min="1" max="6" width="18" customWidth="1"/>
  </cols>
  <sheetData>
    <row r="1" spans="1:6" ht="18.75" x14ac:dyDescent="0.3">
      <c r="A1" s="3" t="s">
        <v>214</v>
      </c>
    </row>
    <row r="2" spans="1:6" x14ac:dyDescent="0.25">
      <c r="A2" s="26" t="s">
        <v>215</v>
      </c>
    </row>
    <row r="4" spans="1:6" x14ac:dyDescent="0.25">
      <c r="A4" s="25" t="s">
        <v>216</v>
      </c>
      <c r="B4" s="25" t="s">
        <v>217</v>
      </c>
      <c r="C4" s="25" t="s">
        <v>218</v>
      </c>
      <c r="D4" s="25" t="s">
        <v>219</v>
      </c>
    </row>
    <row r="5" spans="1:6" x14ac:dyDescent="0.25">
      <c r="A5" t="s">
        <v>220</v>
      </c>
      <c r="B5" t="s">
        <v>221</v>
      </c>
      <c r="C5" t="s">
        <v>222</v>
      </c>
      <c r="D5" t="s">
        <v>223</v>
      </c>
    </row>
    <row r="6" spans="1:6" x14ac:dyDescent="0.25">
      <c r="A6" s="18" t="s">
        <v>224</v>
      </c>
      <c r="B6" t="s">
        <v>225</v>
      </c>
      <c r="C6" t="s">
        <v>226</v>
      </c>
      <c r="D6" t="s">
        <v>227</v>
      </c>
    </row>
    <row r="7" spans="1:6" x14ac:dyDescent="0.25">
      <c r="A7" t="s">
        <v>228</v>
      </c>
      <c r="B7" t="s">
        <v>229</v>
      </c>
      <c r="C7" t="s">
        <v>230</v>
      </c>
      <c r="D7" t="s">
        <v>231</v>
      </c>
    </row>
    <row r="9" spans="1:6" x14ac:dyDescent="0.25">
      <c r="A9" s="24" t="s">
        <v>232</v>
      </c>
    </row>
    <row r="10" spans="1:6" x14ac:dyDescent="0.25">
      <c r="A10" t="s">
        <v>216</v>
      </c>
      <c r="B10" s="25">
        <v>2026</v>
      </c>
      <c r="C10" s="25">
        <v>2027</v>
      </c>
      <c r="D10" s="25">
        <v>2028</v>
      </c>
      <c r="E10" s="25">
        <v>2029</v>
      </c>
      <c r="F10" s="25">
        <v>2030</v>
      </c>
    </row>
    <row r="11" spans="1:6" x14ac:dyDescent="0.25">
      <c r="A11" t="s">
        <v>233</v>
      </c>
      <c r="B11" s="8">
        <v>10000</v>
      </c>
      <c r="C11" s="8">
        <v>120000</v>
      </c>
      <c r="D11" s="8">
        <v>1200000</v>
      </c>
      <c r="E11" s="8">
        <v>2500000</v>
      </c>
      <c r="F11" s="8">
        <v>4500000</v>
      </c>
    </row>
    <row r="12" spans="1:6" x14ac:dyDescent="0.25">
      <c r="A12" t="s">
        <v>234</v>
      </c>
      <c r="B12" s="9">
        <f>'08_P&amp;L'!B5</f>
        <v>0</v>
      </c>
      <c r="C12" s="9">
        <f>'08_P&amp;L'!C5</f>
        <v>61354</v>
      </c>
      <c r="D12" s="9">
        <f>'08_P&amp;L'!D5</f>
        <v>839676.8</v>
      </c>
      <c r="E12" s="9">
        <f>'08_P&amp;L'!E5</f>
        <v>3052923.9000000004</v>
      </c>
      <c r="F12" s="9">
        <f>'08_P&amp;L'!F5</f>
        <v>7023199.5384</v>
      </c>
    </row>
    <row r="13" spans="1:6" x14ac:dyDescent="0.25">
      <c r="A13" t="s">
        <v>235</v>
      </c>
      <c r="B13" s="8">
        <v>15000</v>
      </c>
      <c r="C13" s="8">
        <v>300000</v>
      </c>
      <c r="D13" s="8">
        <v>4000000</v>
      </c>
      <c r="E13" s="8">
        <v>7500000</v>
      </c>
      <c r="F13" s="8">
        <v>12000000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workbookViewId="0"/>
  </sheetViews>
  <sheetFormatPr defaultRowHeight="15" x14ac:dyDescent="0.25"/>
  <cols>
    <col min="1" max="7" width="16" customWidth="1"/>
  </cols>
  <sheetData>
    <row r="1" spans="1:7" ht="18.75" x14ac:dyDescent="0.3">
      <c r="A1" s="3" t="s">
        <v>236</v>
      </c>
    </row>
    <row r="3" spans="1:7" x14ac:dyDescent="0.25">
      <c r="A3" s="25" t="s">
        <v>237</v>
      </c>
      <c r="B3" s="25" t="s">
        <v>238</v>
      </c>
      <c r="C3" s="25" t="s">
        <v>239</v>
      </c>
      <c r="D3" s="25" t="s">
        <v>240</v>
      </c>
      <c r="E3" s="25" t="s">
        <v>241</v>
      </c>
      <c r="F3" s="25" t="s">
        <v>242</v>
      </c>
      <c r="G3" s="25" t="s">
        <v>243</v>
      </c>
    </row>
    <row r="5" spans="1:7" x14ac:dyDescent="0.25">
      <c r="A5" s="18" t="s">
        <v>244</v>
      </c>
    </row>
    <row r="6" spans="1:7" x14ac:dyDescent="0.25">
      <c r="A6" t="s">
        <v>245</v>
      </c>
      <c r="B6" s="5">
        <f>'04_Assumptions'!D12</f>
        <v>250</v>
      </c>
      <c r="C6" s="5">
        <f>'04_Assumptions'!D12*0.8</f>
        <v>200</v>
      </c>
      <c r="D6" s="5">
        <f>'04_Assumptions'!D12*0.9</f>
        <v>225</v>
      </c>
      <c r="E6" s="5">
        <f>'04_Assumptions'!D12*1</f>
        <v>250</v>
      </c>
      <c r="F6" s="5">
        <f>'04_Assumptions'!D12*1.1</f>
        <v>275</v>
      </c>
      <c r="G6" s="5">
        <f>'04_Assumptions'!D12*1.2</f>
        <v>300</v>
      </c>
    </row>
    <row r="7" spans="1:7" x14ac:dyDescent="0.25">
      <c r="A7" t="s">
        <v>246</v>
      </c>
      <c r="C7" s="9">
        <f>'08_P&amp;L'!D5*0.8</f>
        <v>671741.44000000006</v>
      </c>
      <c r="D7" s="9">
        <f>'08_P&amp;L'!D5*0.9</f>
        <v>755709.12000000011</v>
      </c>
      <c r="E7" s="9">
        <f>'08_P&amp;L'!D5*1</f>
        <v>839676.8</v>
      </c>
      <c r="F7" s="9">
        <f>'08_P&amp;L'!D5*1.1</f>
        <v>923644.4800000001</v>
      </c>
      <c r="G7" s="9">
        <f>'08_P&amp;L'!D5*1.2</f>
        <v>1007612.16</v>
      </c>
    </row>
    <row r="9" spans="1:7" x14ac:dyDescent="0.25">
      <c r="A9" t="s">
        <v>247</v>
      </c>
      <c r="B9" s="9">
        <f>'04_Assumptions'!D7</f>
        <v>800</v>
      </c>
      <c r="C9" s="9">
        <f>'04_Assumptions'!D7*0.8</f>
        <v>640</v>
      </c>
      <c r="D9" s="9">
        <f>'04_Assumptions'!D7*0.9</f>
        <v>720</v>
      </c>
      <c r="E9" s="9">
        <f>'04_Assumptions'!D7*1</f>
        <v>800</v>
      </c>
      <c r="F9" s="9">
        <f>'04_Assumptions'!D7*1.1</f>
        <v>880.00000000000011</v>
      </c>
      <c r="G9" s="9">
        <f>'04_Assumptions'!D7*1.2</f>
        <v>960</v>
      </c>
    </row>
    <row r="10" spans="1:7" x14ac:dyDescent="0.25">
      <c r="A10" t="s">
        <v>246</v>
      </c>
      <c r="C10" s="9">
        <f>'08_P&amp;L'!D5*0.8</f>
        <v>671741.44000000006</v>
      </c>
      <c r="D10" s="9">
        <f>'08_P&amp;L'!D5*0.9</f>
        <v>755709.12000000011</v>
      </c>
      <c r="E10" s="9">
        <f>'08_P&amp;L'!D5*1</f>
        <v>839676.8</v>
      </c>
      <c r="F10" s="9">
        <f>'08_P&amp;L'!D5*1.1</f>
        <v>923644.4800000001</v>
      </c>
      <c r="G10" s="9">
        <f>'08_P&amp;L'!D5*1.2</f>
        <v>1007612.16</v>
      </c>
    </row>
    <row r="12" spans="1:7" x14ac:dyDescent="0.25">
      <c r="A12" t="s">
        <v>248</v>
      </c>
      <c r="B12" s="19">
        <f>'04_Assumptions'!D16</f>
        <v>0</v>
      </c>
      <c r="C12" s="19">
        <f>'04_Assumptions'!D16*0.8</f>
        <v>0</v>
      </c>
      <c r="D12" s="19">
        <f>'04_Assumptions'!D16*0.9</f>
        <v>0</v>
      </c>
      <c r="E12" s="19">
        <f>'04_Assumptions'!D16*1</f>
        <v>0</v>
      </c>
      <c r="F12" s="19">
        <f>'04_Assumptions'!D16*1.1</f>
        <v>0</v>
      </c>
      <c r="G12" s="19">
        <f>'04_Assumptions'!D16*1.2</f>
        <v>0</v>
      </c>
    </row>
    <row r="13" spans="1:7" x14ac:dyDescent="0.25">
      <c r="A13" t="s">
        <v>249</v>
      </c>
      <c r="C13" s="21">
        <f>'08_P&amp;L'!D8*1.2</f>
        <v>0.58038249087839511</v>
      </c>
      <c r="D13" s="21">
        <f>'08_P&amp;L'!D8*1.1</f>
        <v>0.5320172833051956</v>
      </c>
      <c r="E13" s="21">
        <f>'08_P&amp;L'!D8*1</f>
        <v>0.48365207573199598</v>
      </c>
      <c r="F13" s="21">
        <f>'08_P&amp;L'!D8*0.899999999999999</f>
        <v>0.43528686815879591</v>
      </c>
      <c r="G13" s="21">
        <f>'08_P&amp;L'!D8*0.8</f>
        <v>0.38692166058559679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9759-6D07-4075-B363-C8D000E2ACA8}">
  <dimension ref="A1:G45"/>
  <sheetViews>
    <sheetView workbookViewId="0"/>
  </sheetViews>
  <sheetFormatPr defaultRowHeight="15" x14ac:dyDescent="0.25"/>
  <sheetData>
    <row r="1" spans="1:7" ht="18.75" x14ac:dyDescent="0.3">
      <c r="A1" s="65" t="s">
        <v>299</v>
      </c>
      <c r="B1" s="66"/>
      <c r="C1" s="66"/>
      <c r="D1" s="66"/>
      <c r="E1" s="66"/>
      <c r="F1" s="66"/>
      <c r="G1" s="66"/>
    </row>
    <row r="2" spans="1:7" x14ac:dyDescent="0.25">
      <c r="A2" s="67" t="s">
        <v>300</v>
      </c>
    </row>
    <row r="4" spans="1:7" x14ac:dyDescent="0.25">
      <c r="A4" s="68" t="s">
        <v>301</v>
      </c>
      <c r="B4" s="69"/>
      <c r="C4" s="69"/>
      <c r="D4" s="69"/>
      <c r="E4" s="69"/>
      <c r="F4" s="69"/>
      <c r="G4" s="69"/>
    </row>
    <row r="5" spans="1:7" x14ac:dyDescent="0.25">
      <c r="A5" s="32" t="s">
        <v>302</v>
      </c>
      <c r="B5" s="32" t="s">
        <v>303</v>
      </c>
      <c r="C5" s="32" t="s">
        <v>304</v>
      </c>
      <c r="D5" s="32" t="s">
        <v>305</v>
      </c>
      <c r="E5" s="32" t="s">
        <v>306</v>
      </c>
      <c r="F5" s="32" t="s">
        <v>307</v>
      </c>
    </row>
    <row r="6" spans="1:7" x14ac:dyDescent="0.25">
      <c r="A6" t="s">
        <v>308</v>
      </c>
      <c r="B6" s="70">
        <v>1.4999999999999999E-2</v>
      </c>
      <c r="C6" s="71">
        <v>10</v>
      </c>
      <c r="D6">
        <f>B6*C6</f>
        <v>0.15</v>
      </c>
      <c r="E6" t="s">
        <v>309</v>
      </c>
      <c r="F6" t="s">
        <v>310</v>
      </c>
    </row>
    <row r="7" spans="1:7" x14ac:dyDescent="0.25">
      <c r="A7" t="s">
        <v>311</v>
      </c>
      <c r="B7" s="70">
        <v>0.02</v>
      </c>
      <c r="C7" s="71">
        <v>1</v>
      </c>
      <c r="D7">
        <f>B7*C7</f>
        <v>0.02</v>
      </c>
      <c r="E7" t="s">
        <v>312</v>
      </c>
      <c r="F7" t="s">
        <v>313</v>
      </c>
    </row>
    <row r="8" spans="1:7" x14ac:dyDescent="0.25">
      <c r="A8" t="s">
        <v>314</v>
      </c>
      <c r="B8" s="70">
        <v>1.4999999999999999E-2</v>
      </c>
      <c r="C8" s="71">
        <v>8</v>
      </c>
      <c r="D8">
        <f>B8*C8</f>
        <v>0.12</v>
      </c>
      <c r="E8" t="s">
        <v>315</v>
      </c>
      <c r="F8" t="s">
        <v>316</v>
      </c>
    </row>
    <row r="9" spans="1:7" x14ac:dyDescent="0.25">
      <c r="A9" t="s">
        <v>317</v>
      </c>
      <c r="B9" s="70">
        <v>5.0000000000000001E-3</v>
      </c>
      <c r="C9" s="71">
        <v>60</v>
      </c>
      <c r="D9">
        <f>B9*C9</f>
        <v>0.3</v>
      </c>
      <c r="E9" t="s">
        <v>318</v>
      </c>
      <c r="F9" t="s">
        <v>319</v>
      </c>
    </row>
    <row r="10" spans="1:7" x14ac:dyDescent="0.25">
      <c r="A10" t="s">
        <v>320</v>
      </c>
      <c r="B10" s="70">
        <v>8.0000000000000002E-3</v>
      </c>
      <c r="C10" s="71">
        <v>20</v>
      </c>
      <c r="D10">
        <f>B10*C10</f>
        <v>0.16</v>
      </c>
      <c r="E10" t="s">
        <v>321</v>
      </c>
      <c r="F10" t="s">
        <v>322</v>
      </c>
    </row>
    <row r="11" spans="1:7" x14ac:dyDescent="0.25">
      <c r="A11" t="s">
        <v>323</v>
      </c>
      <c r="B11" s="70">
        <v>2E-3</v>
      </c>
      <c r="C11" s="71">
        <v>40</v>
      </c>
      <c r="D11">
        <f>B11*C11</f>
        <v>0.08</v>
      </c>
      <c r="E11" t="s">
        <v>324</v>
      </c>
      <c r="F11" t="s">
        <v>325</v>
      </c>
    </row>
    <row r="12" spans="1:7" x14ac:dyDescent="0.25">
      <c r="A12" t="s">
        <v>326</v>
      </c>
      <c r="B12" s="70">
        <v>5.0000000000000001E-3</v>
      </c>
      <c r="C12" s="71">
        <v>5</v>
      </c>
      <c r="D12">
        <f>B12*C12</f>
        <v>2.5000000000000001E-2</v>
      </c>
      <c r="E12" t="s">
        <v>327</v>
      </c>
      <c r="F12" t="s">
        <v>328</v>
      </c>
    </row>
    <row r="13" spans="1:7" x14ac:dyDescent="0.25">
      <c r="A13" t="s">
        <v>329</v>
      </c>
      <c r="B13" s="70">
        <v>3.0000000000000001E-3</v>
      </c>
      <c r="C13" s="71">
        <v>3</v>
      </c>
      <c r="D13">
        <f>B13*C13</f>
        <v>9.0000000000000011E-3</v>
      </c>
      <c r="E13" t="s">
        <v>330</v>
      </c>
      <c r="F13" t="s">
        <v>331</v>
      </c>
    </row>
    <row r="14" spans="1:7" x14ac:dyDescent="0.25">
      <c r="A14" t="s">
        <v>332</v>
      </c>
      <c r="B14" s="70">
        <v>5.0000000000000001E-3</v>
      </c>
      <c r="C14" s="71">
        <v>30</v>
      </c>
      <c r="D14">
        <f>B14*C14</f>
        <v>0.15</v>
      </c>
      <c r="E14" t="s">
        <v>333</v>
      </c>
      <c r="F14" t="s">
        <v>334</v>
      </c>
    </row>
    <row r="15" spans="1:7" x14ac:dyDescent="0.25">
      <c r="A15" t="s">
        <v>335</v>
      </c>
      <c r="B15" s="70">
        <v>3.0000000000000001E-3</v>
      </c>
      <c r="C15" s="71">
        <v>15</v>
      </c>
      <c r="D15">
        <f>B15*C15</f>
        <v>4.4999999999999998E-2</v>
      </c>
      <c r="E15" t="s">
        <v>336</v>
      </c>
      <c r="F15" t="s">
        <v>337</v>
      </c>
    </row>
    <row r="17" spans="1:7" x14ac:dyDescent="0.25">
      <c r="A17" s="72" t="s">
        <v>338</v>
      </c>
      <c r="B17" s="73"/>
      <c r="C17" s="73"/>
      <c r="D17" s="73"/>
      <c r="E17" s="73"/>
      <c r="F17" s="73"/>
      <c r="G17" s="73"/>
    </row>
    <row r="18" spans="1:7" x14ac:dyDescent="0.25">
      <c r="A18" s="32" t="s">
        <v>302</v>
      </c>
      <c r="B18" s="32" t="s">
        <v>303</v>
      </c>
      <c r="C18" s="32" t="s">
        <v>304</v>
      </c>
      <c r="D18" s="32" t="s">
        <v>305</v>
      </c>
      <c r="E18" s="32" t="s">
        <v>306</v>
      </c>
      <c r="F18" s="32" t="s">
        <v>307</v>
      </c>
    </row>
    <row r="19" spans="1:7" x14ac:dyDescent="0.25">
      <c r="A19" t="s">
        <v>339</v>
      </c>
      <c r="B19" s="70">
        <v>1.4999999999999999E-2</v>
      </c>
      <c r="C19" s="71">
        <v>15</v>
      </c>
      <c r="D19">
        <f>B19*C19</f>
        <v>0.22499999999999998</v>
      </c>
      <c r="E19" t="s">
        <v>340</v>
      </c>
      <c r="F19" t="s">
        <v>341</v>
      </c>
    </row>
    <row r="20" spans="1:7" x14ac:dyDescent="0.25">
      <c r="A20" t="s">
        <v>342</v>
      </c>
      <c r="B20" s="70">
        <v>1.4999999999999999E-2</v>
      </c>
      <c r="C20" s="71">
        <v>20</v>
      </c>
      <c r="D20">
        <f>B20*C20</f>
        <v>0.3</v>
      </c>
      <c r="E20" t="s">
        <v>343</v>
      </c>
      <c r="F20" t="s">
        <v>344</v>
      </c>
    </row>
    <row r="21" spans="1:7" x14ac:dyDescent="0.25">
      <c r="A21" t="s">
        <v>345</v>
      </c>
      <c r="B21" s="70">
        <v>5.0000000000000001E-3</v>
      </c>
      <c r="C21" s="71">
        <v>25</v>
      </c>
      <c r="D21">
        <f>B21*C21</f>
        <v>0.125</v>
      </c>
      <c r="E21" t="s">
        <v>346</v>
      </c>
      <c r="F21" t="s">
        <v>347</v>
      </c>
    </row>
    <row r="22" spans="1:7" x14ac:dyDescent="0.25">
      <c r="A22" t="s">
        <v>348</v>
      </c>
      <c r="B22" s="70">
        <v>0.01</v>
      </c>
      <c r="C22" s="71">
        <v>0.5</v>
      </c>
      <c r="D22">
        <f>B22*C22</f>
        <v>5.0000000000000001E-3</v>
      </c>
      <c r="E22" t="s">
        <v>349</v>
      </c>
      <c r="F22" t="s">
        <v>350</v>
      </c>
    </row>
    <row r="23" spans="1:7" x14ac:dyDescent="0.25">
      <c r="A23" t="s">
        <v>351</v>
      </c>
      <c r="B23" s="70">
        <v>0.01</v>
      </c>
      <c r="C23" s="71">
        <v>2</v>
      </c>
      <c r="D23">
        <f>B23*C23</f>
        <v>0.02</v>
      </c>
      <c r="E23" t="s">
        <v>352</v>
      </c>
      <c r="F23" t="s">
        <v>353</v>
      </c>
    </row>
    <row r="24" spans="1:7" x14ac:dyDescent="0.25">
      <c r="A24" t="s">
        <v>354</v>
      </c>
      <c r="B24" s="70">
        <v>0.01</v>
      </c>
      <c r="C24" s="71">
        <v>10</v>
      </c>
      <c r="D24">
        <f>B24*C24</f>
        <v>0.1</v>
      </c>
      <c r="E24" t="s">
        <v>355</v>
      </c>
      <c r="F24" t="s">
        <v>356</v>
      </c>
    </row>
    <row r="25" spans="1:7" x14ac:dyDescent="0.25">
      <c r="A25" t="s">
        <v>357</v>
      </c>
      <c r="B25" s="70">
        <v>2E-3</v>
      </c>
      <c r="C25" s="71">
        <v>80</v>
      </c>
      <c r="D25">
        <f>B25*C25</f>
        <v>0.16</v>
      </c>
      <c r="E25" t="s">
        <v>358</v>
      </c>
      <c r="F25" t="s">
        <v>359</v>
      </c>
    </row>
    <row r="27" spans="1:7" x14ac:dyDescent="0.25">
      <c r="A27" s="74" t="s">
        <v>360</v>
      </c>
      <c r="B27" s="75">
        <f>SUM(B6:B15,B19:B25)</f>
        <v>0.14800000000000005</v>
      </c>
      <c r="C27" s="76"/>
      <c r="D27" s="77">
        <f>SUM(D6:D15,D19:D25)</f>
        <v>1.9939999999999998</v>
      </c>
      <c r="E27" s="76"/>
      <c r="F27" s="76"/>
      <c r="G27" s="76"/>
    </row>
    <row r="29" spans="1:7" x14ac:dyDescent="0.25">
      <c r="A29" s="78" t="s">
        <v>361</v>
      </c>
      <c r="B29" s="79"/>
      <c r="C29" s="79"/>
      <c r="D29" s="79"/>
      <c r="E29" s="79"/>
      <c r="F29" s="79"/>
      <c r="G29" s="79"/>
    </row>
    <row r="30" spans="1:7" x14ac:dyDescent="0.25">
      <c r="A30" s="32" t="s">
        <v>362</v>
      </c>
      <c r="D30" s="32" t="s">
        <v>363</v>
      </c>
      <c r="E30" s="32" t="s">
        <v>364</v>
      </c>
    </row>
    <row r="31" spans="1:7" x14ac:dyDescent="0.25">
      <c r="A31" t="s">
        <v>365</v>
      </c>
      <c r="D31" s="71">
        <v>0.6</v>
      </c>
      <c r="E31" t="s">
        <v>366</v>
      </c>
    </row>
    <row r="32" spans="1:7" x14ac:dyDescent="0.25">
      <c r="A32" t="s">
        <v>367</v>
      </c>
      <c r="D32" s="71">
        <v>0.3</v>
      </c>
      <c r="E32" t="s">
        <v>368</v>
      </c>
    </row>
    <row r="33" spans="1:7" x14ac:dyDescent="0.25">
      <c r="A33" t="s">
        <v>369</v>
      </c>
      <c r="D33" s="71">
        <v>0.2</v>
      </c>
      <c r="E33" t="s">
        <v>370</v>
      </c>
    </row>
    <row r="34" spans="1:7" x14ac:dyDescent="0.25">
      <c r="A34" t="s">
        <v>371</v>
      </c>
      <c r="D34" s="71">
        <v>0.4</v>
      </c>
      <c r="E34" t="s">
        <v>372</v>
      </c>
    </row>
    <row r="35" spans="1:7" x14ac:dyDescent="0.25">
      <c r="A35" s="74" t="s">
        <v>373</v>
      </c>
      <c r="D35" s="77">
        <f>SUM(D31:D34)</f>
        <v>1.5</v>
      </c>
      <c r="E35" s="76"/>
      <c r="F35" s="76"/>
      <c r="G35" s="76"/>
    </row>
    <row r="37" spans="1:7" ht="15.75" x14ac:dyDescent="0.25">
      <c r="A37" s="80" t="s">
        <v>374</v>
      </c>
      <c r="B37" s="81"/>
      <c r="C37" s="81"/>
      <c r="D37" s="82">
        <f>D27+D35</f>
        <v>3.4939999999999998</v>
      </c>
      <c r="E37" s="81"/>
      <c r="F37" s="81"/>
      <c r="G37" s="81"/>
    </row>
    <row r="38" spans="1:7" x14ac:dyDescent="0.25">
      <c r="A38" s="83" t="s">
        <v>375</v>
      </c>
      <c r="D38" s="84">
        <f>D37-D9</f>
        <v>3.194</v>
      </c>
    </row>
    <row r="40" spans="1:7" x14ac:dyDescent="0.25">
      <c r="A40" s="85" t="s">
        <v>376</v>
      </c>
      <c r="B40" s="86"/>
      <c r="C40" s="86"/>
      <c r="D40" s="86"/>
      <c r="E40" s="86"/>
      <c r="F40" s="86"/>
      <c r="G40" s="86"/>
    </row>
    <row r="41" spans="1:7" x14ac:dyDescent="0.25">
      <c r="A41" s="32" t="s">
        <v>377</v>
      </c>
      <c r="B41" s="32" t="s">
        <v>378</v>
      </c>
      <c r="C41" s="32" t="s">
        <v>379</v>
      </c>
      <c r="D41" s="32" t="s">
        <v>380</v>
      </c>
      <c r="E41" s="32" t="s">
        <v>381</v>
      </c>
    </row>
    <row r="42" spans="1:7" x14ac:dyDescent="0.25">
      <c r="A42" t="s">
        <v>382</v>
      </c>
      <c r="B42" s="71">
        <v>9</v>
      </c>
      <c r="C42">
        <f>$D$37</f>
        <v>3.4939999999999998</v>
      </c>
      <c r="D42">
        <f>B42-C42</f>
        <v>5.5060000000000002</v>
      </c>
      <c r="E42" s="70">
        <f>D42/B42</f>
        <v>0.61177777777777775</v>
      </c>
    </row>
    <row r="43" spans="1:7" x14ac:dyDescent="0.25">
      <c r="A43" t="s">
        <v>383</v>
      </c>
      <c r="B43" s="71">
        <v>17</v>
      </c>
      <c r="C43">
        <f>$D$37</f>
        <v>3.4939999999999998</v>
      </c>
      <c r="D43">
        <f>B43-C43</f>
        <v>13.506</v>
      </c>
      <c r="E43" s="70">
        <f>D43/B43</f>
        <v>0.79447058823529415</v>
      </c>
    </row>
    <row r="44" spans="1:7" x14ac:dyDescent="0.25">
      <c r="A44" t="s">
        <v>384</v>
      </c>
      <c r="B44" s="71">
        <v>11</v>
      </c>
      <c r="C44">
        <f>$D$37</f>
        <v>3.4939999999999998</v>
      </c>
      <c r="D44">
        <f>B44-C44</f>
        <v>7.5060000000000002</v>
      </c>
      <c r="E44" s="70">
        <f>D44/B44</f>
        <v>0.68236363636363639</v>
      </c>
    </row>
    <row r="45" spans="1:7" x14ac:dyDescent="0.25">
      <c r="A45" t="s">
        <v>385</v>
      </c>
      <c r="B45" s="71">
        <v>10</v>
      </c>
      <c r="C45">
        <f>$D$37</f>
        <v>3.4939999999999998</v>
      </c>
      <c r="D45">
        <f>B45-C45</f>
        <v>6.5060000000000002</v>
      </c>
      <c r="E45" s="70">
        <f>D45/B45</f>
        <v>0.65060000000000007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C420-15D1-4ADA-928B-58576488FF40}">
  <dimension ref="A1:N50"/>
  <sheetViews>
    <sheetView tabSelected="1" workbookViewId="0">
      <selection activeCell="P11" sqref="P11"/>
    </sheetView>
  </sheetViews>
  <sheetFormatPr defaultRowHeight="15" x14ac:dyDescent="0.25"/>
  <cols>
    <col min="1" max="1" width="34.85546875" customWidth="1"/>
    <col min="2" max="2" width="8.5703125" bestFit="1" customWidth="1"/>
    <col min="3" max="3" width="13.42578125" bestFit="1" customWidth="1"/>
    <col min="4" max="4" width="14.42578125" bestFit="1" customWidth="1"/>
    <col min="5" max="5" width="14.5703125" bestFit="1" customWidth="1"/>
    <col min="6" max="13" width="8.5703125" bestFit="1" customWidth="1"/>
    <col min="14" max="14" width="10.140625" bestFit="1" customWidth="1"/>
  </cols>
  <sheetData>
    <row r="1" spans="1:14" ht="18.75" x14ac:dyDescent="0.3">
      <c r="A1" s="65" t="s">
        <v>386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x14ac:dyDescent="0.25">
      <c r="A2" s="67" t="s">
        <v>387</v>
      </c>
    </row>
    <row r="4" spans="1:14" x14ac:dyDescent="0.25">
      <c r="A4" s="68" t="s">
        <v>388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</row>
    <row r="5" spans="1:14" x14ac:dyDescent="0.25">
      <c r="A5" s="83" t="s">
        <v>389</v>
      </c>
    </row>
    <row r="6" spans="1:14" x14ac:dyDescent="0.25">
      <c r="A6" s="32" t="s">
        <v>390</v>
      </c>
      <c r="B6" s="32" t="s">
        <v>391</v>
      </c>
      <c r="C6" s="32" t="s">
        <v>392</v>
      </c>
      <c r="D6" s="32" t="s">
        <v>393</v>
      </c>
      <c r="E6" s="32" t="s">
        <v>394</v>
      </c>
      <c r="F6" s="32" t="s">
        <v>395</v>
      </c>
      <c r="G6" s="32" t="s">
        <v>396</v>
      </c>
      <c r="H6" s="32" t="s">
        <v>397</v>
      </c>
      <c r="I6" s="32" t="s">
        <v>398</v>
      </c>
      <c r="J6" s="32" t="s">
        <v>399</v>
      </c>
      <c r="K6" s="32" t="s">
        <v>400</v>
      </c>
      <c r="L6" s="32" t="s">
        <v>401</v>
      </c>
      <c r="M6" s="32" t="s">
        <v>402</v>
      </c>
      <c r="N6" s="74" t="s">
        <v>403</v>
      </c>
    </row>
    <row r="7" spans="1:14" x14ac:dyDescent="0.25">
      <c r="A7" t="s">
        <v>404</v>
      </c>
      <c r="B7" s="87">
        <v>8000</v>
      </c>
      <c r="C7" s="87">
        <v>8000</v>
      </c>
      <c r="D7" s="87">
        <v>5000</v>
      </c>
      <c r="E7" s="87">
        <v>5000</v>
      </c>
      <c r="F7" s="87">
        <v>5000</v>
      </c>
      <c r="G7" s="87">
        <v>5000</v>
      </c>
      <c r="H7" s="87">
        <v>4000</v>
      </c>
      <c r="I7" s="87">
        <v>3000</v>
      </c>
      <c r="J7" s="87">
        <v>3000</v>
      </c>
      <c r="K7" s="87">
        <v>2000</v>
      </c>
      <c r="L7" s="87">
        <v>1000</v>
      </c>
      <c r="M7" s="87">
        <v>1000</v>
      </c>
      <c r="N7" s="88">
        <f>SUM(B7:M7)</f>
        <v>50000</v>
      </c>
    </row>
    <row r="8" spans="1:14" x14ac:dyDescent="0.25">
      <c r="A8" t="s">
        <v>405</v>
      </c>
      <c r="B8" s="87">
        <v>1000</v>
      </c>
      <c r="C8" s="87">
        <v>1000</v>
      </c>
      <c r="D8" s="87">
        <v>1000</v>
      </c>
      <c r="E8" s="87">
        <v>1000</v>
      </c>
      <c r="F8" s="87">
        <v>1000</v>
      </c>
      <c r="G8" s="87">
        <v>1000</v>
      </c>
      <c r="H8" s="87">
        <v>1000</v>
      </c>
      <c r="I8" s="87">
        <v>1000</v>
      </c>
      <c r="J8" s="87">
        <v>1000</v>
      </c>
      <c r="K8" s="87">
        <v>1000</v>
      </c>
      <c r="L8" s="87">
        <v>0</v>
      </c>
      <c r="M8" s="87">
        <v>0</v>
      </c>
      <c r="N8" s="88">
        <f>SUM(B8:M8)</f>
        <v>10000</v>
      </c>
    </row>
    <row r="9" spans="1:14" x14ac:dyDescent="0.25">
      <c r="A9" t="s">
        <v>406</v>
      </c>
      <c r="B9" s="87">
        <v>5500</v>
      </c>
      <c r="C9" s="87">
        <v>5500</v>
      </c>
      <c r="D9" s="87">
        <v>5500</v>
      </c>
      <c r="E9" s="87">
        <v>5500</v>
      </c>
      <c r="F9" s="87">
        <v>5500</v>
      </c>
      <c r="G9" s="87">
        <v>5500</v>
      </c>
      <c r="H9" s="87">
        <v>5500</v>
      </c>
      <c r="I9" s="87">
        <v>5500</v>
      </c>
      <c r="J9" s="87">
        <v>5500</v>
      </c>
      <c r="K9" s="87">
        <v>5500</v>
      </c>
      <c r="L9" s="87">
        <v>5000</v>
      </c>
      <c r="M9" s="87">
        <v>5000</v>
      </c>
      <c r="N9" s="88">
        <f>SUM(B9:M9)</f>
        <v>65000</v>
      </c>
    </row>
    <row r="10" spans="1:14" x14ac:dyDescent="0.25">
      <c r="A10" t="s">
        <v>407</v>
      </c>
      <c r="B10" s="87">
        <v>500</v>
      </c>
      <c r="C10" s="87">
        <v>500</v>
      </c>
      <c r="D10" s="87">
        <v>500</v>
      </c>
      <c r="E10" s="87">
        <v>500</v>
      </c>
      <c r="F10" s="87">
        <v>1000</v>
      </c>
      <c r="G10" s="87">
        <v>1000</v>
      </c>
      <c r="H10" s="87">
        <v>1000</v>
      </c>
      <c r="I10" s="87">
        <v>1000</v>
      </c>
      <c r="J10" s="87">
        <v>500</v>
      </c>
      <c r="K10" s="87">
        <v>500</v>
      </c>
      <c r="L10" s="87">
        <v>500</v>
      </c>
      <c r="M10" s="87">
        <v>500</v>
      </c>
      <c r="N10" s="88">
        <f>SUM(B10:M10)</f>
        <v>8000</v>
      </c>
    </row>
    <row r="11" spans="1:14" x14ac:dyDescent="0.25">
      <c r="A11" t="s">
        <v>408</v>
      </c>
      <c r="B11" s="87">
        <v>3000</v>
      </c>
      <c r="C11" s="87">
        <v>3000</v>
      </c>
      <c r="D11" s="87">
        <v>3000</v>
      </c>
      <c r="E11" s="87">
        <v>3000</v>
      </c>
      <c r="F11" s="87">
        <v>3000</v>
      </c>
      <c r="G11" s="87">
        <v>3000</v>
      </c>
      <c r="H11" s="87">
        <v>2000</v>
      </c>
      <c r="I11" s="87">
        <v>2000</v>
      </c>
      <c r="J11" s="87">
        <v>2000</v>
      </c>
      <c r="K11" s="87">
        <v>2000</v>
      </c>
      <c r="L11" s="87">
        <v>2000</v>
      </c>
      <c r="M11" s="87">
        <v>2000</v>
      </c>
      <c r="N11" s="88">
        <f>SUM(B11:M11)</f>
        <v>30000</v>
      </c>
    </row>
    <row r="12" spans="1:14" x14ac:dyDescent="0.25">
      <c r="A12" t="s">
        <v>409</v>
      </c>
      <c r="B12" s="87">
        <v>400</v>
      </c>
      <c r="C12" s="87">
        <v>400</v>
      </c>
      <c r="D12" s="87">
        <v>400</v>
      </c>
      <c r="E12" s="87">
        <v>400</v>
      </c>
      <c r="F12" s="87">
        <v>400</v>
      </c>
      <c r="G12" s="87">
        <v>400</v>
      </c>
      <c r="H12" s="87">
        <v>400</v>
      </c>
      <c r="I12" s="87">
        <v>400</v>
      </c>
      <c r="J12" s="87">
        <v>400</v>
      </c>
      <c r="K12" s="87">
        <v>500</v>
      </c>
      <c r="L12" s="87">
        <v>500</v>
      </c>
      <c r="M12" s="87">
        <v>400</v>
      </c>
      <c r="N12" s="88">
        <f>SUM(B12:M12)</f>
        <v>5000</v>
      </c>
    </row>
    <row r="13" spans="1:14" x14ac:dyDescent="0.25">
      <c r="A13" t="s">
        <v>410</v>
      </c>
      <c r="B13" s="87">
        <v>2000</v>
      </c>
      <c r="C13" s="87">
        <v>2000</v>
      </c>
      <c r="D13" s="87">
        <v>1000</v>
      </c>
      <c r="E13" s="87">
        <v>1000</v>
      </c>
      <c r="F13" s="87">
        <v>500</v>
      </c>
      <c r="G13" s="87">
        <v>500</v>
      </c>
      <c r="H13" s="87">
        <v>500</v>
      </c>
      <c r="I13" s="87">
        <v>500</v>
      </c>
      <c r="J13" s="87">
        <v>500</v>
      </c>
      <c r="K13" s="87">
        <v>500</v>
      </c>
      <c r="L13" s="87">
        <v>500</v>
      </c>
      <c r="M13" s="87">
        <v>500</v>
      </c>
      <c r="N13" s="88">
        <f>SUM(B13:M13)</f>
        <v>10000</v>
      </c>
    </row>
    <row r="14" spans="1:14" x14ac:dyDescent="0.25">
      <c r="A14" s="89" t="s">
        <v>411</v>
      </c>
      <c r="B14" s="90">
        <f>SUM(B7:B13)</f>
        <v>20400</v>
      </c>
      <c r="C14" s="90">
        <f>SUM(C7:C13)</f>
        <v>20400</v>
      </c>
      <c r="D14" s="90">
        <f>SUM(D7:D13)</f>
        <v>16400</v>
      </c>
      <c r="E14" s="90">
        <f>SUM(E7:E13)</f>
        <v>16400</v>
      </c>
      <c r="F14" s="90">
        <f>SUM(F7:F13)</f>
        <v>16400</v>
      </c>
      <c r="G14" s="90">
        <f>SUM(G7:G13)</f>
        <v>16400</v>
      </c>
      <c r="H14" s="90">
        <f>SUM(H7:H13)</f>
        <v>14400</v>
      </c>
      <c r="I14" s="90">
        <f>SUM(I7:I13)</f>
        <v>13400</v>
      </c>
      <c r="J14" s="90">
        <f>SUM(J7:J13)</f>
        <v>12900</v>
      </c>
      <c r="K14" s="90">
        <f>SUM(K7:K13)</f>
        <v>12000</v>
      </c>
      <c r="L14" s="90">
        <f>SUM(L7:L13)</f>
        <v>9500</v>
      </c>
      <c r="M14" s="90">
        <f>SUM(M7:M13)</f>
        <v>9400</v>
      </c>
      <c r="N14" s="90">
        <f>SUM(N7:N13)</f>
        <v>178000</v>
      </c>
    </row>
    <row r="16" spans="1:14" x14ac:dyDescent="0.25">
      <c r="A16" s="72" t="s">
        <v>412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</row>
    <row r="17" spans="1:14" x14ac:dyDescent="0.25">
      <c r="A17" s="83" t="s">
        <v>413</v>
      </c>
    </row>
    <row r="18" spans="1:14" x14ac:dyDescent="0.25">
      <c r="A18" s="32" t="s">
        <v>390</v>
      </c>
      <c r="B18" s="32" t="s">
        <v>391</v>
      </c>
      <c r="C18" s="32" t="s">
        <v>392</v>
      </c>
      <c r="D18" s="32" t="s">
        <v>393</v>
      </c>
      <c r="E18" s="32" t="s">
        <v>394</v>
      </c>
      <c r="F18" s="32" t="s">
        <v>395</v>
      </c>
      <c r="G18" s="32" t="s">
        <v>396</v>
      </c>
      <c r="H18" s="32" t="s">
        <v>397</v>
      </c>
      <c r="I18" s="32" t="s">
        <v>398</v>
      </c>
      <c r="J18" s="32" t="s">
        <v>399</v>
      </c>
      <c r="K18" s="32" t="s">
        <v>400</v>
      </c>
      <c r="L18" s="32" t="s">
        <v>401</v>
      </c>
      <c r="M18" s="32" t="s">
        <v>402</v>
      </c>
      <c r="N18" s="74" t="s">
        <v>403</v>
      </c>
    </row>
    <row r="19" spans="1:14" x14ac:dyDescent="0.25">
      <c r="A19" t="s">
        <v>414</v>
      </c>
      <c r="B19" s="87">
        <v>40000</v>
      </c>
      <c r="C19" s="87">
        <v>45000</v>
      </c>
      <c r="D19" s="87">
        <v>50000</v>
      </c>
      <c r="E19" s="87">
        <v>50000</v>
      </c>
      <c r="F19" s="87">
        <v>55000</v>
      </c>
      <c r="G19" s="87">
        <v>55000</v>
      </c>
      <c r="H19" s="87">
        <v>50000</v>
      </c>
      <c r="I19" s="87">
        <v>50000</v>
      </c>
      <c r="J19" s="87">
        <v>55000</v>
      </c>
      <c r="K19" s="87">
        <v>55000</v>
      </c>
      <c r="L19" s="87">
        <v>50000</v>
      </c>
      <c r="M19" s="87">
        <v>45000</v>
      </c>
      <c r="N19" s="88">
        <f>SUM(B19:M19)</f>
        <v>600000</v>
      </c>
    </row>
    <row r="20" spans="1:14" x14ac:dyDescent="0.25">
      <c r="A20" t="s">
        <v>415</v>
      </c>
      <c r="B20" s="87">
        <v>20000</v>
      </c>
      <c r="C20" s="87">
        <v>20000</v>
      </c>
      <c r="D20" s="87">
        <v>25000</v>
      </c>
      <c r="E20" s="87">
        <v>25000</v>
      </c>
      <c r="F20" s="87">
        <v>25000</v>
      </c>
      <c r="G20" s="87">
        <v>25000</v>
      </c>
      <c r="H20" s="87">
        <v>30000</v>
      </c>
      <c r="I20" s="87">
        <v>30000</v>
      </c>
      <c r="J20" s="87">
        <v>25000</v>
      </c>
      <c r="K20" s="87">
        <v>25000</v>
      </c>
      <c r="L20" s="87">
        <v>25000</v>
      </c>
      <c r="M20" s="87">
        <v>25000</v>
      </c>
      <c r="N20" s="88">
        <f>SUM(B20:M20)</f>
        <v>300000</v>
      </c>
    </row>
    <row r="21" spans="1:14" x14ac:dyDescent="0.25">
      <c r="A21" t="s">
        <v>416</v>
      </c>
      <c r="B21" s="87">
        <v>22000</v>
      </c>
      <c r="C21" s="87">
        <v>22000</v>
      </c>
      <c r="D21" s="87">
        <v>25000</v>
      </c>
      <c r="E21" s="87">
        <v>25000</v>
      </c>
      <c r="F21" s="87">
        <v>25000</v>
      </c>
      <c r="G21" s="87">
        <v>25000</v>
      </c>
      <c r="H21" s="87">
        <v>28000</v>
      </c>
      <c r="I21" s="87">
        <v>28000</v>
      </c>
      <c r="J21" s="87">
        <v>25000</v>
      </c>
      <c r="K21" s="87">
        <v>25000</v>
      </c>
      <c r="L21" s="87">
        <v>25000</v>
      </c>
      <c r="M21" s="87">
        <v>25000</v>
      </c>
      <c r="N21" s="88">
        <f>SUM(B21:M21)</f>
        <v>300000</v>
      </c>
    </row>
    <row r="22" spans="1:14" x14ac:dyDescent="0.25">
      <c r="A22" t="s">
        <v>417</v>
      </c>
      <c r="B22" s="87">
        <v>10000</v>
      </c>
      <c r="C22" s="87">
        <v>10000</v>
      </c>
      <c r="D22" s="87">
        <v>12000</v>
      </c>
      <c r="E22" s="87">
        <v>15000</v>
      </c>
      <c r="F22" s="87">
        <v>15000</v>
      </c>
      <c r="G22" s="87">
        <v>15000</v>
      </c>
      <c r="H22" s="87">
        <v>12000</v>
      </c>
      <c r="I22" s="87">
        <v>12000</v>
      </c>
      <c r="J22" s="87">
        <v>12000</v>
      </c>
      <c r="K22" s="87">
        <v>12000</v>
      </c>
      <c r="L22" s="87">
        <v>12000</v>
      </c>
      <c r="M22" s="87">
        <v>13000</v>
      </c>
      <c r="N22" s="88">
        <f>SUM(B22:M22)</f>
        <v>150000</v>
      </c>
    </row>
    <row r="23" spans="1:14" x14ac:dyDescent="0.25">
      <c r="A23" t="s">
        <v>418</v>
      </c>
      <c r="B23" s="87">
        <v>6000</v>
      </c>
      <c r="C23" s="87">
        <v>6000</v>
      </c>
      <c r="D23" s="87">
        <v>6000</v>
      </c>
      <c r="E23" s="87">
        <v>6000</v>
      </c>
      <c r="F23" s="87">
        <v>7000</v>
      </c>
      <c r="G23" s="87">
        <v>7000</v>
      </c>
      <c r="H23" s="87">
        <v>7000</v>
      </c>
      <c r="I23" s="87">
        <v>6000</v>
      </c>
      <c r="J23" s="87">
        <v>6000</v>
      </c>
      <c r="K23" s="87">
        <v>6000</v>
      </c>
      <c r="L23" s="87">
        <v>6000</v>
      </c>
      <c r="M23" s="87">
        <v>6000</v>
      </c>
      <c r="N23" s="88">
        <f>SUM(B23:M23)</f>
        <v>75000</v>
      </c>
    </row>
    <row r="24" spans="1:14" x14ac:dyDescent="0.25">
      <c r="A24" t="s">
        <v>419</v>
      </c>
      <c r="B24" s="87">
        <v>5000</v>
      </c>
      <c r="C24" s="87">
        <v>5000</v>
      </c>
      <c r="D24" s="87">
        <v>5000</v>
      </c>
      <c r="E24" s="87">
        <v>6000</v>
      </c>
      <c r="F24" s="87">
        <v>6000</v>
      </c>
      <c r="G24" s="87">
        <v>6000</v>
      </c>
      <c r="H24" s="87">
        <v>7000</v>
      </c>
      <c r="I24" s="87">
        <v>7000</v>
      </c>
      <c r="J24" s="87">
        <v>7000</v>
      </c>
      <c r="K24" s="87">
        <v>7000</v>
      </c>
      <c r="L24" s="87">
        <v>7000</v>
      </c>
      <c r="M24" s="87">
        <v>7000</v>
      </c>
      <c r="N24" s="88">
        <f>SUM(B24:M24)</f>
        <v>75000</v>
      </c>
    </row>
    <row r="25" spans="1:14" x14ac:dyDescent="0.25">
      <c r="A25" s="89" t="s">
        <v>420</v>
      </c>
      <c r="B25" s="90">
        <f>SUM(B19:B24)</f>
        <v>103000</v>
      </c>
      <c r="C25" s="90">
        <f>SUM(C19:C24)</f>
        <v>108000</v>
      </c>
      <c r="D25" s="90">
        <f>SUM(D19:D24)</f>
        <v>123000</v>
      </c>
      <c r="E25" s="90">
        <f>SUM(E19:E24)</f>
        <v>127000</v>
      </c>
      <c r="F25" s="90">
        <f>SUM(F19:F24)</f>
        <v>133000</v>
      </c>
      <c r="G25" s="90">
        <f>SUM(G19:G24)</f>
        <v>133000</v>
      </c>
      <c r="H25" s="90">
        <f>SUM(H19:H24)</f>
        <v>134000</v>
      </c>
      <c r="I25" s="90">
        <f>SUM(I19:I24)</f>
        <v>133000</v>
      </c>
      <c r="J25" s="90">
        <f>SUM(J19:J24)</f>
        <v>130000</v>
      </c>
      <c r="K25" s="90">
        <f>SUM(K19:K24)</f>
        <v>130000</v>
      </c>
      <c r="L25" s="90">
        <f>SUM(L19:L24)</f>
        <v>125000</v>
      </c>
      <c r="M25" s="90">
        <f>SUM(M19:M24)</f>
        <v>121000</v>
      </c>
      <c r="N25" s="90">
        <f>SUM(N19:N24)</f>
        <v>1500000</v>
      </c>
    </row>
    <row r="27" spans="1:14" x14ac:dyDescent="0.25">
      <c r="A27" s="78" t="s">
        <v>421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</row>
    <row r="28" spans="1:14" x14ac:dyDescent="0.25">
      <c r="A28" s="83" t="s">
        <v>422</v>
      </c>
    </row>
    <row r="29" spans="1:14" x14ac:dyDescent="0.25">
      <c r="A29" s="32" t="s">
        <v>390</v>
      </c>
      <c r="B29" s="32" t="s">
        <v>391</v>
      </c>
      <c r="C29" s="32" t="s">
        <v>392</v>
      </c>
      <c r="D29" s="32" t="s">
        <v>393</v>
      </c>
      <c r="E29" s="32" t="s">
        <v>394</v>
      </c>
      <c r="F29" s="32" t="s">
        <v>395</v>
      </c>
      <c r="G29" s="32" t="s">
        <v>396</v>
      </c>
      <c r="H29" s="32" t="s">
        <v>397</v>
      </c>
      <c r="I29" s="32" t="s">
        <v>398</v>
      </c>
      <c r="J29" s="32" t="s">
        <v>399</v>
      </c>
      <c r="K29" s="32" t="s">
        <v>400</v>
      </c>
      <c r="L29" s="32" t="s">
        <v>401</v>
      </c>
      <c r="M29" s="32" t="s">
        <v>402</v>
      </c>
      <c r="N29" s="74" t="s">
        <v>403</v>
      </c>
    </row>
    <row r="30" spans="1:14" x14ac:dyDescent="0.25">
      <c r="A30" t="s">
        <v>423</v>
      </c>
      <c r="B30" s="87">
        <v>90000</v>
      </c>
      <c r="C30" s="87">
        <v>95000</v>
      </c>
      <c r="D30" s="87">
        <v>100000</v>
      </c>
      <c r="E30" s="87">
        <v>100000</v>
      </c>
      <c r="F30" s="87">
        <v>105000</v>
      </c>
      <c r="G30" s="87">
        <v>105000</v>
      </c>
      <c r="H30" s="87">
        <v>100000</v>
      </c>
      <c r="I30" s="87">
        <v>100000</v>
      </c>
      <c r="J30" s="87">
        <v>105000</v>
      </c>
      <c r="K30" s="87">
        <v>100000</v>
      </c>
      <c r="L30" s="87">
        <v>100000</v>
      </c>
      <c r="M30" s="87">
        <v>100000</v>
      </c>
      <c r="N30" s="88">
        <f>SUM(B30:M30)</f>
        <v>1200000</v>
      </c>
    </row>
    <row r="31" spans="1:14" x14ac:dyDescent="0.25">
      <c r="A31" t="s">
        <v>424</v>
      </c>
      <c r="B31" s="87">
        <v>55000</v>
      </c>
      <c r="C31" s="87">
        <v>60000</v>
      </c>
      <c r="D31" s="87">
        <v>65000</v>
      </c>
      <c r="E31" s="87">
        <v>65000</v>
      </c>
      <c r="F31" s="87">
        <v>65000</v>
      </c>
      <c r="G31" s="87">
        <v>65000</v>
      </c>
      <c r="H31" s="87">
        <v>60000</v>
      </c>
      <c r="I31" s="87">
        <v>60000</v>
      </c>
      <c r="J31" s="87">
        <v>65000</v>
      </c>
      <c r="K31" s="87">
        <v>65000</v>
      </c>
      <c r="L31" s="87">
        <v>60000</v>
      </c>
      <c r="M31" s="87">
        <v>65000</v>
      </c>
      <c r="N31" s="88">
        <f>SUM(B31:M31)</f>
        <v>750000</v>
      </c>
    </row>
    <row r="32" spans="1:14" x14ac:dyDescent="0.25">
      <c r="A32" t="s">
        <v>425</v>
      </c>
      <c r="B32" s="87">
        <v>35000</v>
      </c>
      <c r="C32" s="87">
        <v>35000</v>
      </c>
      <c r="D32" s="87">
        <v>38000</v>
      </c>
      <c r="E32" s="87">
        <v>38000</v>
      </c>
      <c r="F32" s="87">
        <v>40000</v>
      </c>
      <c r="G32" s="87">
        <v>40000</v>
      </c>
      <c r="H32" s="87">
        <v>40000</v>
      </c>
      <c r="I32" s="87">
        <v>40000</v>
      </c>
      <c r="J32" s="87">
        <v>38000</v>
      </c>
      <c r="K32" s="87">
        <v>38000</v>
      </c>
      <c r="L32" s="87">
        <v>38000</v>
      </c>
      <c r="M32" s="87">
        <v>40000</v>
      </c>
      <c r="N32" s="88">
        <f>SUM(B32:M32)</f>
        <v>460000</v>
      </c>
    </row>
    <row r="33" spans="1:14" x14ac:dyDescent="0.25">
      <c r="A33" t="s">
        <v>426</v>
      </c>
      <c r="B33" s="87">
        <v>22000</v>
      </c>
      <c r="C33" s="87">
        <v>25000</v>
      </c>
      <c r="D33" s="87">
        <v>28000</v>
      </c>
      <c r="E33" s="87">
        <v>28000</v>
      </c>
      <c r="F33" s="87">
        <v>28000</v>
      </c>
      <c r="G33" s="87">
        <v>28000</v>
      </c>
      <c r="H33" s="87">
        <v>25000</v>
      </c>
      <c r="I33" s="87">
        <v>22000</v>
      </c>
      <c r="J33" s="87">
        <v>25000</v>
      </c>
      <c r="K33" s="87">
        <v>25000</v>
      </c>
      <c r="L33" s="87">
        <v>22000</v>
      </c>
      <c r="M33" s="87">
        <v>22000</v>
      </c>
      <c r="N33" s="88">
        <f>SUM(B33:M33)</f>
        <v>300000</v>
      </c>
    </row>
    <row r="34" spans="1:14" x14ac:dyDescent="0.25">
      <c r="A34" t="s">
        <v>427</v>
      </c>
      <c r="B34" s="87">
        <v>12000</v>
      </c>
      <c r="C34" s="87">
        <v>12000</v>
      </c>
      <c r="D34" s="87">
        <v>13000</v>
      </c>
      <c r="E34" s="87">
        <v>13000</v>
      </c>
      <c r="F34" s="87">
        <v>13000</v>
      </c>
      <c r="G34" s="87">
        <v>13000</v>
      </c>
      <c r="H34" s="87">
        <v>12000</v>
      </c>
      <c r="I34" s="87">
        <v>12000</v>
      </c>
      <c r="J34" s="87">
        <v>12000</v>
      </c>
      <c r="K34" s="87">
        <v>12000</v>
      </c>
      <c r="L34" s="87">
        <v>13000</v>
      </c>
      <c r="M34" s="87">
        <v>12000</v>
      </c>
      <c r="N34" s="88">
        <f>SUM(B34:M34)</f>
        <v>149000</v>
      </c>
    </row>
    <row r="35" spans="1:14" x14ac:dyDescent="0.25">
      <c r="A35" t="s">
        <v>428</v>
      </c>
      <c r="B35" s="87">
        <v>12000</v>
      </c>
      <c r="C35" s="87">
        <v>12000</v>
      </c>
      <c r="D35" s="87">
        <v>12000</v>
      </c>
      <c r="E35" s="87">
        <v>13000</v>
      </c>
      <c r="F35" s="87">
        <v>13000</v>
      </c>
      <c r="G35" s="87">
        <v>13000</v>
      </c>
      <c r="H35" s="87">
        <v>12000</v>
      </c>
      <c r="I35" s="87">
        <v>12000</v>
      </c>
      <c r="J35" s="87">
        <v>13000</v>
      </c>
      <c r="K35" s="87">
        <v>13000</v>
      </c>
      <c r="L35" s="87">
        <v>12000</v>
      </c>
      <c r="M35" s="87">
        <v>13000</v>
      </c>
      <c r="N35" s="88">
        <f>SUM(B35:M35)</f>
        <v>150000</v>
      </c>
    </row>
    <row r="36" spans="1:14" x14ac:dyDescent="0.25">
      <c r="A36" s="89" t="s">
        <v>429</v>
      </c>
      <c r="B36" s="90">
        <f>SUM(B30:B35)</f>
        <v>226000</v>
      </c>
      <c r="C36" s="90">
        <f>SUM(C30:C35)</f>
        <v>239000</v>
      </c>
      <c r="D36" s="90">
        <f>SUM(D30:D35)</f>
        <v>256000</v>
      </c>
      <c r="E36" s="90">
        <f>SUM(E30:E35)</f>
        <v>257000</v>
      </c>
      <c r="F36" s="90">
        <f>SUM(F30:F35)</f>
        <v>264000</v>
      </c>
      <c r="G36" s="90">
        <f>SUM(G30:G35)</f>
        <v>264000</v>
      </c>
      <c r="H36" s="90">
        <f>SUM(H30:H35)</f>
        <v>249000</v>
      </c>
      <c r="I36" s="90">
        <f>SUM(I30:I35)</f>
        <v>246000</v>
      </c>
      <c r="J36" s="90">
        <f>SUM(J30:J35)</f>
        <v>258000</v>
      </c>
      <c r="K36" s="90">
        <f>SUM(K30:K35)</f>
        <v>253000</v>
      </c>
      <c r="L36" s="90">
        <f>SUM(L30:L35)</f>
        <v>245000</v>
      </c>
      <c r="M36" s="90">
        <f>SUM(M30:M35)</f>
        <v>252000</v>
      </c>
      <c r="N36" s="90">
        <f>SUM(N30:N35)</f>
        <v>3009000</v>
      </c>
    </row>
    <row r="38" spans="1:14" ht="15.75" x14ac:dyDescent="0.25">
      <c r="A38" s="91" t="s">
        <v>430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</row>
    <row r="39" spans="1:14" x14ac:dyDescent="0.25">
      <c r="A39" s="32" t="s">
        <v>431</v>
      </c>
      <c r="B39" s="32" t="s">
        <v>432</v>
      </c>
      <c r="C39" s="32" t="s">
        <v>433</v>
      </c>
      <c r="D39" s="32" t="s">
        <v>434</v>
      </c>
      <c r="E39" s="32" t="s">
        <v>435</v>
      </c>
    </row>
    <row r="40" spans="1:14" x14ac:dyDescent="0.25">
      <c r="A40" t="s">
        <v>436</v>
      </c>
      <c r="B40">
        <v>2026</v>
      </c>
      <c r="C40" s="92">
        <f>N14</f>
        <v>178000</v>
      </c>
      <c r="D40" t="s">
        <v>437</v>
      </c>
      <c r="E40" s="70">
        <f>C40/200000</f>
        <v>0.89</v>
      </c>
    </row>
    <row r="41" spans="1:14" x14ac:dyDescent="0.25">
      <c r="A41" t="s">
        <v>438</v>
      </c>
      <c r="B41">
        <v>2027</v>
      </c>
      <c r="C41" s="92">
        <f>N25</f>
        <v>1500000</v>
      </c>
      <c r="D41" t="s">
        <v>439</v>
      </c>
      <c r="E41" s="70">
        <f>C41/1500000</f>
        <v>1</v>
      </c>
    </row>
    <row r="42" spans="1:14" x14ac:dyDescent="0.25">
      <c r="A42" t="s">
        <v>440</v>
      </c>
      <c r="B42">
        <v>2028</v>
      </c>
      <c r="C42" s="92">
        <f>N36</f>
        <v>3009000</v>
      </c>
      <c r="D42" t="s">
        <v>441</v>
      </c>
      <c r="E42" s="70">
        <f>C42/4000000</f>
        <v>0.75224999999999997</v>
      </c>
    </row>
    <row r="43" spans="1:14" x14ac:dyDescent="0.25">
      <c r="A43" s="89" t="s">
        <v>442</v>
      </c>
      <c r="B43" s="81"/>
      <c r="C43" s="90">
        <f>SUM(C40:C42)</f>
        <v>4687000</v>
      </c>
      <c r="D43" s="81"/>
      <c r="E43" s="81"/>
    </row>
    <row r="45" spans="1:14" x14ac:dyDescent="0.25">
      <c r="A45" s="85" t="s">
        <v>443</v>
      </c>
      <c r="B45" s="86"/>
      <c r="C45" s="86"/>
      <c r="D45" s="86"/>
      <c r="E45" s="86"/>
    </row>
    <row r="46" spans="1:14" x14ac:dyDescent="0.25">
      <c r="A46" s="83" t="s">
        <v>444</v>
      </c>
    </row>
    <row r="47" spans="1:14" x14ac:dyDescent="0.25">
      <c r="A47" t="s">
        <v>445</v>
      </c>
    </row>
    <row r="48" spans="1:14" x14ac:dyDescent="0.25">
      <c r="A48" t="s">
        <v>446</v>
      </c>
    </row>
    <row r="49" spans="1:1" x14ac:dyDescent="0.25">
      <c r="A49" t="s">
        <v>447</v>
      </c>
    </row>
    <row r="50" spans="1:1" x14ac:dyDescent="0.25">
      <c r="A50" s="67" t="s">
        <v>448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739F-371E-4AD4-96F7-C84EF1D8C68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434D-A961-46D3-B4D8-1480BFAC90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00_Index</vt:lpstr>
      <vt:lpstr>01_Executive_Summary</vt:lpstr>
      <vt:lpstr>02_TAM_SAM_SOM_Poultry</vt:lpstr>
      <vt:lpstr>02_1_TAM_SAM_SOM_Agricolo</vt:lpstr>
      <vt:lpstr>03_Product_Lines</vt:lpstr>
      <vt:lpstr>04_Assumptions</vt:lpstr>
      <vt:lpstr>05_Revenue_Model</vt:lpstr>
      <vt:lpstr>06_COGS</vt:lpstr>
      <vt:lpstr>07_OpEx</vt:lpstr>
      <vt:lpstr>08_P&amp;L</vt:lpstr>
      <vt:lpstr>09_Cash_Flow</vt:lpstr>
      <vt:lpstr>10_KPIs</vt:lpstr>
      <vt:lpstr>11_Funding</vt:lpstr>
      <vt:lpstr>12_Scenarios</vt:lpstr>
      <vt:lpstr>13_Sensitivity</vt:lpstr>
      <vt:lpstr>14_Unit_Costs_BOM</vt:lpstr>
      <vt:lpstr>15_OpEx_Budget_Detail</vt:lpstr>
      <vt:lpstr>16_Valuation_Models</vt:lpstr>
      <vt:lpstr>17_Dashboard</vt:lpstr>
      <vt:lpstr>TAMAcqua</vt:lpstr>
      <vt:lpstr>TAMLivestock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 Mascitto</cp:lastModifiedBy>
  <dcterms:created xsi:type="dcterms:W3CDTF">2026-01-31T15:17:45Z</dcterms:created>
  <dcterms:modified xsi:type="dcterms:W3CDTF">2026-01-31T21:39:09Z</dcterms:modified>
</cp:coreProperties>
</file>